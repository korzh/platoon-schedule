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b952c9a1f6802e6/Docs/War2022/"/>
    </mc:Choice>
  </mc:AlternateContent>
  <xr:revisionPtr revIDLastSave="1690" documentId="8_{7D748BA0-FEFA-48DE-BCD8-0FCADAED0FB6}" xr6:coauthVersionLast="47" xr6:coauthVersionMax="47" xr10:uidLastSave="{1EE64425-2730-41D7-B80E-15C080933E57}"/>
  <bookViews>
    <workbookView xWindow="-108" yWindow="-108" windowWidth="23256" windowHeight="12456" xr2:uid="{85E272FC-D28A-4054-A4E4-C51EA3B9AEE5}"/>
  </bookViews>
  <sheets>
    <sheet name="Schedule" sheetId="1" r:id="rId1"/>
    <sheet name="Template_1" sheetId="4" state="hidden" r:id="rId2"/>
    <sheet name="Template_2" sheetId="44" state="hidden" r:id="rId3"/>
    <sheet name="Template_3" sheetId="46" state="hidden" r:id="rId4"/>
    <sheet name="Template_4" sheetId="45" state="hidden" r:id="rId5"/>
  </sheets>
  <functionGroups builtInGroupCount="19"/>
  <definedNames>
    <definedName name="_xlnm.Print_Area" localSheetId="1">Template_1!$A$1:$K$54</definedName>
    <definedName name="_xlnm.Print_Area" localSheetId="2">Template_2!$A$1:$J$56</definedName>
    <definedName name="_xlnm.Print_Area" localSheetId="3">Template_3!$1:$45</definedName>
    <definedName name="_xlnm.Print_Area" localSheetId="4">Template_4!$A:$I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" i="44" l="1"/>
  <c r="A28" i="44"/>
  <c r="E24" i="44"/>
  <c r="F28" i="44"/>
  <c r="F54" i="44"/>
  <c r="C49" i="44"/>
  <c r="D50" i="4"/>
  <c r="B18" i="44" a="1"/>
  <c r="B18" i="44"/>
  <c r="C20" i="44" a="1"/>
  <c r="C20" i="44"/>
  <c r="D35" i="44" a="1"/>
  <c r="D35" i="44"/>
  <c r="B8" i="44" a="1"/>
  <c r="B8" i="44"/>
  <c r="F40" i="4" a="1"/>
  <c r="F40" i="4"/>
  <c r="F8" i="4" a="1"/>
  <c r="F8" i="4"/>
  <c r="A3" i="46" a="1"/>
  <c r="A3" i="46"/>
  <c r="A28" i="46"/>
  <c r="K25" i="46" a="1"/>
  <c r="K25" i="46"/>
  <c r="K30" i="46" a="1"/>
  <c r="K30" i="46"/>
  <c r="A33" i="44"/>
  <c r="F33" i="44"/>
  <c r="F30" i="44"/>
  <c r="A30" i="44"/>
  <c r="G56" i="44"/>
  <c r="A56" i="44"/>
  <c r="A22" i="46" a="1"/>
  <c r="A22" i="46"/>
  <c r="A20" i="46" a="1"/>
  <c r="A20" i="46"/>
  <c r="A18" i="46" a="1"/>
  <c r="A18" i="46"/>
  <c r="A16" i="46" a="1"/>
  <c r="A16" i="46"/>
  <c r="A14" i="46" a="1"/>
  <c r="A14" i="46"/>
  <c r="A12" i="46" a="1"/>
  <c r="A12" i="46"/>
  <c r="A10" i="46" a="1"/>
  <c r="A10" i="46"/>
  <c r="A8" i="46" a="1"/>
  <c r="A8" i="46"/>
  <c r="F41" i="44" a="1"/>
  <c r="F41" i="44"/>
  <c r="A6" i="46" a="1"/>
  <c r="A6" i="46"/>
  <c r="D41" i="44" a="1"/>
  <c r="D41" i="44"/>
  <c r="G38" i="4" a="1"/>
  <c r="G38" i="4"/>
  <c r="G48" i="4" a="1"/>
  <c r="G48" i="4"/>
  <c r="G47" i="4" a="1"/>
  <c r="G47" i="4"/>
  <c r="G46" i="4" a="1"/>
  <c r="G46" i="4"/>
  <c r="G45" i="4" a="1"/>
  <c r="G45" i="4"/>
  <c r="G44" i="4" a="1"/>
  <c r="G44" i="4"/>
  <c r="G43" i="4" a="1"/>
  <c r="G43" i="4"/>
  <c r="G42" i="4" a="1"/>
  <c r="G42" i="4"/>
  <c r="G41" i="4" a="1"/>
  <c r="G41" i="4"/>
  <c r="G40" i="4" a="1"/>
  <c r="G40" i="4"/>
  <c r="F48" i="4" a="1"/>
  <c r="F48" i="4"/>
  <c r="F47" i="4" a="1"/>
  <c r="F47" i="4"/>
  <c r="F46" i="4" a="1"/>
  <c r="F46" i="4"/>
  <c r="F45" i="4" a="1"/>
  <c r="F45" i="4"/>
  <c r="F44" i="4" a="1"/>
  <c r="F44" i="4"/>
  <c r="F43" i="4" a="1"/>
  <c r="F43" i="4"/>
  <c r="F42" i="4" a="1"/>
  <c r="F42" i="4"/>
  <c r="F41" i="4" a="1"/>
  <c r="F41" i="4"/>
  <c r="F39" i="4" a="1"/>
  <c r="F39" i="4"/>
  <c r="H42" i="44" a="1"/>
  <c r="H43" i="44" a="1"/>
  <c r="F43" i="44" a="1"/>
  <c r="F42" i="44" a="1"/>
  <c r="H41" i="44" a="1"/>
  <c r="D43" i="44" a="1"/>
  <c r="D42" i="44" a="1"/>
  <c r="B40" i="44" a="1"/>
  <c r="G39" i="4" a="1"/>
  <c r="F38" i="4" a="1"/>
  <c r="H42" i="44"/>
  <c r="H43" i="44"/>
  <c r="F43" i="44"/>
  <c r="F42" i="44"/>
  <c r="H41" i="44"/>
  <c r="D43" i="44"/>
  <c r="D42" i="44"/>
  <c r="B40" i="44"/>
  <c r="G39" i="4"/>
  <c r="F3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<sst xmlns="http://schemas.openxmlformats.org/spreadsheetml/2006/main" count="321" uniqueCount="181">
  <si>
    <t>ПІП</t>
  </si>
  <si>
    <t>1 відділення</t>
  </si>
  <si>
    <t>2 відділення</t>
  </si>
  <si>
    <t>3 відділення</t>
  </si>
  <si>
    <t>К2</t>
  </si>
  <si>
    <t>К3</t>
  </si>
  <si>
    <t>К1</t>
  </si>
  <si>
    <t>ДН</t>
  </si>
  <si>
    <t>(військове звання, підпис, прізвище)</t>
  </si>
  <si>
    <t>Командир тг  __________________________________________________</t>
  </si>
  <si>
    <t>Вартовий</t>
  </si>
  <si>
    <t>Розвідний</t>
  </si>
  <si>
    <t>Начальник варти</t>
  </si>
  <si>
    <t>Підпис посадової особи</t>
  </si>
  <si>
    <t>Прізвище та ініціали</t>
  </si>
  <si>
    <t>В/звання</t>
  </si>
  <si>
    <t>Посада</t>
  </si>
  <si>
    <t>Наказ Голови Адміністрації ДССТ від 16.12.04 №60, п.1.14. Статут гарнізонної та вартової служб ЗС України ст. 110-112 Заходи безпеки при поводженні зі зброєю та боєприпасами "ЗАСВОЇВ"</t>
  </si>
  <si>
    <t>Начальник варти  __________________________________________________</t>
  </si>
  <si>
    <t>Підпис про прийом зброї та боєприпасів</t>
  </si>
  <si>
    <t>Кількість</t>
  </si>
  <si>
    <t>Дата</t>
  </si>
  <si>
    <t>Підпис про отримання</t>
  </si>
  <si>
    <t>В/звання і прізвище особи, якій видана зброя та боєприпаси</t>
  </si>
  <si>
    <t>Повернено</t>
  </si>
  <si>
    <t>Видано</t>
  </si>
  <si>
    <t>Найменування і номер зброї та боєприпасів</t>
  </si>
  <si>
    <t>№ з/п</t>
  </si>
  <si>
    <t>видачі зброї і боєприпасів у варту</t>
  </si>
  <si>
    <t>Відомість</t>
  </si>
  <si>
    <t>п.1.14</t>
  </si>
  <si>
    <t>до постової відомості варти</t>
  </si>
  <si>
    <t>ДССТ від 16.12.04 № 60</t>
  </si>
  <si>
    <t>Додаток №1</t>
  </si>
  <si>
    <t>Наказ Голови Адміністрації</t>
  </si>
  <si>
    <t>По журналу обліку №  ___</t>
  </si>
  <si>
    <t>Рік</t>
  </si>
  <si>
    <t>Місяць</t>
  </si>
  <si>
    <t>Командир</t>
  </si>
  <si>
    <t>Звання</t>
  </si>
  <si>
    <t>мол. сержант</t>
  </si>
  <si>
    <t>солдат</t>
  </si>
  <si>
    <t>ст. солдат</t>
  </si>
  <si>
    <t>сержант</t>
  </si>
  <si>
    <t>Додаток 2</t>
  </si>
  <si>
    <t>Облік отримання доповідей чатових</t>
  </si>
  <si>
    <t>Військове звання, прізвище чатового</t>
  </si>
  <si>
    <t>Час надання доповідей чатовими</t>
  </si>
  <si>
    <t>18.00-20.00</t>
  </si>
  <si>
    <t>00.00-02.00</t>
  </si>
  <si>
    <t>06.00-08.00</t>
  </si>
  <si>
    <t>12.00-14.00</t>
  </si>
  <si>
    <t>20.00-22.00</t>
  </si>
  <si>
    <t>02.00-04.00</t>
  </si>
  <si>
    <t>08.00-10.00</t>
  </si>
  <si>
    <t>14.00-16.00</t>
  </si>
  <si>
    <t>04.00-06.00</t>
  </si>
  <si>
    <t>10.00-12.00</t>
  </si>
  <si>
    <t>16.00-18.00</t>
  </si>
  <si>
    <t>Час подання доповіді</t>
  </si>
  <si>
    <t>Відомість прийому заліків</t>
  </si>
  <si>
    <t>Військове звання, прізвище розвідного, чатового</t>
  </si>
  <si>
    <t>Номери статей статуту гарнізонної та вартової служб ЗСУ</t>
  </si>
  <si>
    <t>Особливі обов'язки чатового</t>
  </si>
  <si>
    <t>По журналу обліку №  _____</t>
  </si>
  <si>
    <t>Постову відомість перевірив</t>
  </si>
  <si>
    <t>___________________________________________________</t>
  </si>
  <si>
    <t>(військове звання, підпис, прізвище та ініціали)</t>
  </si>
  <si>
    <t>(№ тг, позивний)</t>
  </si>
  <si>
    <t>(число, місяць, рік)</t>
  </si>
  <si>
    <t>На цій сторінці роблять:</t>
  </si>
  <si>
    <t>1. Записи про допуск до вартового приміщення та об'єктів, що охороняються, розписи начальника варти та осіб, допущених до об'єктів.</t>
  </si>
  <si>
    <t>2. Розписи начальників попередньої та нової варт про зміну варти й записи про виявлені недоліки.</t>
  </si>
  <si>
    <t>(військове звання, підпис, ініціали та прізвище)</t>
  </si>
  <si>
    <t>Прийняв: __________________________________________</t>
  </si>
  <si>
    <t>Підведення підсумків несення вартової служби провів</t>
  </si>
  <si>
    <t>(посада, військове звання, підпис, ініціали та прізвище)</t>
  </si>
  <si>
    <t>Практичне заняття провів:</t>
  </si>
  <si>
    <t>Підбір особового складу, теоретичне заняття провів:</t>
  </si>
  <si>
    <t>РОЗКЛАД ПОСТІВ</t>
  </si>
  <si>
    <t>(військової частини)</t>
  </si>
  <si>
    <t xml:space="preserve">Начальник варти (блокпоста) </t>
  </si>
  <si>
    <t>(військове звання, прізвище, ім'я, по батькові)</t>
  </si>
  <si>
    <t>Номери постів</t>
  </si>
  <si>
    <t>Номери, військові звання, прізвища й ініціали розвідних і вожатих собак</t>
  </si>
  <si>
    <t>Військові звання, прізвища й ініціали чатових</t>
  </si>
  <si>
    <t>1 зміна</t>
  </si>
  <si>
    <t>2 зміна</t>
  </si>
  <si>
    <t>3 зміна</t>
  </si>
  <si>
    <t>Водій   ____________________________________________________</t>
  </si>
  <si>
    <t>Марка й номер транспортного засобу ________________________</t>
  </si>
  <si>
    <t>Особовий склад варти (блокпоста) здоровий</t>
  </si>
  <si>
    <t>Особовий склад варти (блокпоста)</t>
  </si>
  <si>
    <t>допускається до несення служби:</t>
  </si>
  <si>
    <t>проінструктовано по заходам безпеки:</t>
  </si>
  <si>
    <t>____________________________________</t>
  </si>
  <si>
    <t>НК</t>
  </si>
  <si>
    <t>РК</t>
  </si>
  <si>
    <t xml:space="preserve">караул (зміна 1,2,3) </t>
  </si>
  <si>
    <t>начальник караула</t>
  </si>
  <si>
    <t>розвідний</t>
  </si>
  <si>
    <t>днювальні</t>
  </si>
  <si>
    <t>Легенда</t>
  </si>
  <si>
    <t>К</t>
  </si>
  <si>
    <t>На цій сторінці записують:</t>
  </si>
  <si>
    <t>1. Результати перевірки варти (блокпоста).</t>
  </si>
  <si>
    <t>2. Про надзвичайні події у варті (блокпосту).</t>
  </si>
  <si>
    <t>3. Про виведення бойових собак на пости та їх зняття з постів.</t>
  </si>
  <si>
    <t>4. Про всі виявлені недоліки та час їх усунення.</t>
  </si>
  <si>
    <t>18.30, 19.00</t>
  </si>
  <si>
    <t>00.30, 01.00</t>
  </si>
  <si>
    <t>19.30, 20.00</t>
  </si>
  <si>
    <t>20.30,  21.00</t>
  </si>
  <si>
    <t>21.30, 22.00</t>
  </si>
  <si>
    <t>22.30, 23.00</t>
  </si>
  <si>
    <t>23.30, 00.00</t>
  </si>
  <si>
    <t>01.30, 02.00</t>
  </si>
  <si>
    <t>02.30, 03.00</t>
  </si>
  <si>
    <t>03.30, 04.00</t>
  </si>
  <si>
    <t>04.30 05.00</t>
  </si>
  <si>
    <t>05.30, 06.00</t>
  </si>
  <si>
    <t>06.30, 07.00</t>
  </si>
  <si>
    <t>07.30, 08.00</t>
  </si>
  <si>
    <t>08.30, 09.00</t>
  </si>
  <si>
    <t>09.30, 10.00</t>
  </si>
  <si>
    <t>10.30, 11.00</t>
  </si>
  <si>
    <t>11.30, 12.00</t>
  </si>
  <si>
    <t>12.30, 13.00</t>
  </si>
  <si>
    <t>13.30, 14.00</t>
  </si>
  <si>
    <t>14.30, 15.00</t>
  </si>
  <si>
    <t>15.30, 16.00</t>
  </si>
  <si>
    <t>16.30, 17.00</t>
  </si>
  <si>
    <t>17.30, 18.00</t>
  </si>
  <si>
    <t>тг</t>
  </si>
  <si>
    <t>Здав:</t>
  </si>
  <si>
    <t>ВЧ</t>
  </si>
  <si>
    <t>Час заступання вартових на пости з трьома (двома) змінами</t>
  </si>
  <si>
    <t xml:space="preserve">Командир тг </t>
  </si>
  <si>
    <t>мол. лейтенант</t>
  </si>
  <si>
    <t>Звання / посада</t>
  </si>
  <si>
    <t>18:00, 20:00, 22:00, 00:00, 02:00, 04:00, 06:00</t>
  </si>
  <si>
    <t>08:00, 10:00, 12:00, 14:00, 16:00</t>
  </si>
  <si>
    <t>04</t>
  </si>
  <si>
    <t>Квітень 2022</t>
  </si>
  <si>
    <t>квітня</t>
  </si>
  <si>
    <t>лейтенант</t>
  </si>
  <si>
    <t>Командир II батальйону охорони військової частини Т0910</t>
  </si>
  <si>
    <t xml:space="preserve">         від </t>
  </si>
  <si>
    <t xml:space="preserve">ПОСТОВА ВІДОМІСТЬ </t>
  </si>
  <si>
    <t>06:00, 20:00</t>
  </si>
  <si>
    <t>22.00-00.00</t>
  </si>
  <si>
    <t>Командир 1</t>
  </si>
  <si>
    <t>Командир 2</t>
  </si>
  <si>
    <t>Сержант 1 1</t>
  </si>
  <si>
    <t>Солдат 1 1</t>
  </si>
  <si>
    <t>Солдат 1 2</t>
  </si>
  <si>
    <t>Солдат 1 3</t>
  </si>
  <si>
    <t>Солдат 1 4</t>
  </si>
  <si>
    <t>Солдат 1 5</t>
  </si>
  <si>
    <t>Солдат 1 6</t>
  </si>
  <si>
    <t>Солдат 1 7</t>
  </si>
  <si>
    <t>Сержант 2 1</t>
  </si>
  <si>
    <t>Командир М. І.</t>
  </si>
  <si>
    <t>командир взводу</t>
  </si>
  <si>
    <t>Т01234</t>
  </si>
  <si>
    <t>Обєкт 007</t>
  </si>
  <si>
    <t>Солдат 2 1</t>
  </si>
  <si>
    <t>Солдат 2 2</t>
  </si>
  <si>
    <t>Солдат 2 3</t>
  </si>
  <si>
    <t>Солдат 2 4</t>
  </si>
  <si>
    <t>Солдат 2 5</t>
  </si>
  <si>
    <t>Солдат 2 6</t>
  </si>
  <si>
    <t>Солдат 2 7</t>
  </si>
  <si>
    <t>Сержант 3 1</t>
  </si>
  <si>
    <t>Солдат 3 1</t>
  </si>
  <si>
    <t>Солдат 3 2</t>
  </si>
  <si>
    <t>Солдат 3 3</t>
  </si>
  <si>
    <t>Солдат 3 4</t>
  </si>
  <si>
    <t>Солдат 3 5</t>
  </si>
  <si>
    <t>Солдат 3 6</t>
  </si>
  <si>
    <t>Солдат 3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</si>
</sst>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sz val="26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</font>
    <font>
      <sz val="8"/>
      <color rgb="FF000000"/>
      <name val="Times New Roman"/>
      <family val="1"/>
    </font>
    <font>
      <u/>
      <sz val="10"/>
      <color theme="1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11">
    <xf numFmtId="0" fontId="0" fillId="0" borderId="0" xfId="0"/>
    <xf numFmtId="0" fontId="1" fillId="0" borderId="0" xfId="0" applyFont="1"/>
    <xf numFmtId="0" fontId="2" fillId="0" borderId="0" xfId="0" applyFont="1"/>
    <xf numFmtId="49" fontId="0" fillId="0" borderId="0" xfId="0" applyNumberFormat="1"/>
    <xf numFmtId="0" fontId="4" fillId="2" borderId="0" xfId="1" applyFont="1" applyFill="1"/>
    <xf numFmtId="0" fontId="4" fillId="3" borderId="0" xfId="1" applyFont="1" applyFill="1"/>
    <xf numFmtId="0" fontId="5" fillId="3" borderId="0" xfId="1" applyFont="1" applyFill="1"/>
    <xf numFmtId="0" fontId="4" fillId="3" borderId="0" xfId="1" applyFont="1" applyFill="1" applyAlignment="1">
      <alignment horizontal="center"/>
    </xf>
    <xf numFmtId="0" fontId="4" fillId="3" borderId="1" xfId="1" applyFont="1" applyFill="1" applyBorder="1"/>
    <xf numFmtId="0" fontId="4" fillId="3" borderId="1" xfId="1" applyFont="1" applyFill="1" applyBorder="1" applyAlignment="1">
      <alignment horizontal="center" vertical="center" wrapText="1"/>
    </xf>
    <xf numFmtId="0" fontId="4" fillId="3" borderId="1" xfId="1" applyFont="1" applyFill="1" applyBorder="1" applyAlignment="1">
      <alignment horizontal="center" vertical="center"/>
    </xf>
    <xf numFmtId="0" fontId="4" fillId="3" borderId="0" xfId="1" applyFont="1" applyFill="1" applyAlignment="1">
      <alignment vertical="center" wrapText="1"/>
    </xf>
    <xf numFmtId="0" fontId="4" fillId="3" borderId="1" xfId="1" applyFont="1" applyFill="1" applyBorder="1" applyAlignment="1">
      <alignment horizontal="center" vertical="center" textRotation="90"/>
    </xf>
    <xf numFmtId="0" fontId="4" fillId="3" borderId="0" xfId="1" applyFont="1" applyFill="1" applyAlignment="1">
      <alignment horizontal="center" vertical="center"/>
    </xf>
    <xf numFmtId="0" fontId="6" fillId="3" borderId="0" xfId="1" applyFont="1" applyFill="1"/>
    <xf numFmtId="0" fontId="0" fillId="0" borderId="0" xfId="0" applyNumberFormat="1" applyAlignment="1"/>
    <xf numFmtId="49" fontId="7" fillId="0" borderId="0" xfId="0" applyNumberFormat="1" applyFont="1"/>
    <xf numFmtId="49" fontId="6" fillId="3" borderId="0" xfId="1" applyNumberFormat="1" applyFont="1" applyFill="1"/>
    <xf numFmtId="0" fontId="4" fillId="3" borderId="2" xfId="1" applyFont="1" applyFill="1" applyBorder="1"/>
    <xf numFmtId="0" fontId="1" fillId="0" borderId="0" xfId="0" applyNumberFormat="1" applyFont="1"/>
    <xf numFmtId="0" fontId="4" fillId="3" borderId="0" xfId="1" applyFont="1" applyFill="1" applyAlignment="1">
      <alignment horizontal="center"/>
    </xf>
    <xf numFmtId="0" fontId="4" fillId="3" borderId="0" xfId="1" applyFont="1" applyFill="1" applyAlignment="1">
      <alignment horizontal="center" vertical="center"/>
    </xf>
    <xf numFmtId="0" fontId="5" fillId="3" borderId="0" xfId="1" applyFont="1" applyFill="1" applyAlignment="1">
      <alignment vertical="top"/>
    </xf>
    <xf numFmtId="0" fontId="4" fillId="3" borderId="0" xfId="1" applyFont="1" applyFill="1" applyAlignment="1">
      <alignment vertical="center"/>
    </xf>
    <xf numFmtId="0" fontId="4" fillId="3" borderId="2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 vertical="center"/>
    </xf>
    <xf numFmtId="0" fontId="4" fillId="3" borderId="18" xfId="1" applyFont="1" applyFill="1" applyBorder="1" applyAlignment="1">
      <alignment vertical="center" wrapText="1"/>
    </xf>
    <xf numFmtId="0" fontId="4" fillId="3" borderId="18" xfId="1" applyFont="1" applyFill="1" applyBorder="1" applyAlignment="1">
      <alignment horizontal="center" vertical="center" wrapText="1"/>
    </xf>
    <xf numFmtId="0" fontId="4" fillId="3" borderId="18" xfId="1" applyFont="1" applyFill="1" applyBorder="1" applyAlignment="1">
      <alignment horizontal="center" vertical="center" textRotation="90"/>
    </xf>
    <xf numFmtId="0" fontId="4" fillId="3" borderId="18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 wrapText="1"/>
    </xf>
    <xf numFmtId="0" fontId="4" fillId="3" borderId="15" xfId="1" applyFont="1" applyFill="1" applyBorder="1"/>
    <xf numFmtId="0" fontId="4" fillId="3" borderId="20" xfId="1" applyFont="1" applyFill="1" applyBorder="1"/>
    <xf numFmtId="0" fontId="9" fillId="3" borderId="0" xfId="1" applyFont="1" applyFill="1" applyAlignment="1">
      <alignment vertical="top"/>
    </xf>
    <xf numFmtId="0" fontId="6" fillId="3" borderId="0" xfId="1" applyFont="1" applyFill="1" applyAlignment="1">
      <alignment horizontal="left"/>
    </xf>
    <xf numFmtId="0" fontId="4" fillId="3" borderId="0" xfId="1" applyFont="1" applyFill="1" applyAlignment="1">
      <alignment horizontal="left"/>
    </xf>
    <xf numFmtId="0" fontId="4" fillId="3" borderId="4" xfId="1" applyFont="1" applyFill="1" applyBorder="1"/>
    <xf numFmtId="0" fontId="3" fillId="0" borderId="0" xfId="1"/>
    <xf numFmtId="0" fontId="5" fillId="3" borderId="0" xfId="1" applyFont="1" applyFill="1" applyAlignment="1">
      <alignment horizontal="left" vertical="top"/>
    </xf>
    <xf numFmtId="0" fontId="4" fillId="3" borderId="1" xfId="1" applyFont="1" applyFill="1" applyBorder="1" applyAlignment="1">
      <alignment horizontal="center" vertical="center" wrapText="1"/>
    </xf>
    <xf numFmtId="0" fontId="4" fillId="3" borderId="18" xfId="1" applyFont="1" applyFill="1" applyBorder="1"/>
    <xf numFmtId="0" fontId="4" fillId="3" borderId="17" xfId="1" applyFont="1" applyFill="1" applyBorder="1"/>
    <xf numFmtId="0" fontId="10" fillId="3" borderId="0" xfId="1" applyFont="1" applyFill="1"/>
    <xf numFmtId="0" fontId="10" fillId="3" borderId="0" xfId="1" applyFont="1" applyFill="1" applyBorder="1"/>
    <xf numFmtId="0" fontId="4" fillId="3" borderId="0" xfId="1" applyFont="1" applyFill="1" applyBorder="1"/>
    <xf numFmtId="0" fontId="5" fillId="3" borderId="4" xfId="1" applyFont="1" applyFill="1" applyBorder="1"/>
    <xf numFmtId="0" fontId="5" fillId="3" borderId="4" xfId="1" applyFont="1" applyFill="1" applyBorder="1" applyAlignment="1">
      <alignment vertical="top"/>
    </xf>
    <xf numFmtId="0" fontId="11" fillId="3" borderId="0" xfId="1" applyFont="1" applyFill="1" applyAlignment="1">
      <alignment horizontal="center"/>
    </xf>
    <xf numFmtId="0" fontId="5" fillId="3" borderId="4" xfId="1" applyFont="1" applyFill="1" applyBorder="1" applyAlignment="1">
      <alignment horizontal="left" vertical="top"/>
    </xf>
    <xf numFmtId="49" fontId="1" fillId="0" borderId="0" xfId="0" applyNumberFormat="1" applyFont="1"/>
    <xf numFmtId="1" fontId="1" fillId="0" borderId="0" xfId="0" applyNumberFormat="1" applyFont="1"/>
    <xf numFmtId="0" fontId="3" fillId="0" borderId="0" xfId="0" applyFont="1"/>
    <xf numFmtId="1" fontId="12" fillId="0" borderId="0" xfId="0" applyNumberFormat="1" applyFont="1"/>
    <xf numFmtId="2" fontId="12" fillId="0" borderId="0" xfId="0" applyNumberFormat="1" applyFont="1"/>
    <xf numFmtId="49" fontId="12" fillId="0" borderId="0" xfId="0" applyNumberFormat="1" applyFont="1"/>
    <xf numFmtId="0" fontId="12" fillId="0" borderId="0" xfId="0" applyFont="1"/>
    <xf numFmtId="0" fontId="4" fillId="3" borderId="2" xfId="1" applyFont="1" applyFill="1" applyBorder="1" applyAlignment="1">
      <alignment horizontal="left"/>
    </xf>
    <xf numFmtId="0" fontId="14" fillId="3" borderId="0" xfId="1" applyFont="1" applyFill="1"/>
    <xf numFmtId="0" fontId="8" fillId="3" borderId="0" xfId="1" applyFont="1" applyFill="1" applyAlignment="1">
      <alignment vertical="center"/>
    </xf>
    <xf numFmtId="0" fontId="6" fillId="3" borderId="2" xfId="1" applyFont="1" applyFill="1" applyBorder="1"/>
    <xf numFmtId="0" fontId="4" fillId="3" borderId="1" xfId="1" applyFont="1" applyFill="1" applyBorder="1" applyAlignment="1">
      <alignment horizontal="center"/>
    </xf>
    <xf numFmtId="0" fontId="4" fillId="3" borderId="0" xfId="1" applyFont="1" applyFill="1" applyAlignment="1">
      <alignment horizontal="right"/>
    </xf>
    <xf numFmtId="0" fontId="4" fillId="3" borderId="1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/>
    </xf>
    <xf numFmtId="0" fontId="4" fillId="3" borderId="0" xfId="1" applyFont="1" applyFill="1" applyAlignment="1">
      <alignment horizontal="center" vertical="center"/>
    </xf>
    <xf numFmtId="0" fontId="4" fillId="3" borderId="17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/>
    </xf>
    <xf numFmtId="0" fontId="4" fillId="3" borderId="19" xfId="1" applyFont="1" applyFill="1" applyBorder="1" applyAlignment="1">
      <alignment horizontal="center"/>
    </xf>
    <xf numFmtId="0" fontId="4" fillId="3" borderId="1" xfId="1" applyFont="1" applyFill="1" applyBorder="1" applyAlignment="1">
      <alignment horizontal="center" vertical="center" wrapText="1"/>
    </xf>
    <xf numFmtId="0" fontId="10" fillId="3" borderId="0" xfId="1" applyFont="1" applyFill="1" applyAlignment="1">
      <alignment horizontal="center" vertical="center"/>
    </xf>
    <xf numFmtId="0" fontId="5" fillId="3" borderId="4" xfId="1" applyFont="1" applyFill="1" applyBorder="1" applyAlignment="1">
      <alignment horizontal="center" vertical="top"/>
    </xf>
    <xf numFmtId="0" fontId="5" fillId="3" borderId="0" xfId="1" applyFont="1" applyFill="1" applyAlignment="1">
      <alignment horizontal="center" vertical="top"/>
    </xf>
    <xf numFmtId="0" fontId="4" fillId="3" borderId="0" xfId="1" applyFont="1" applyFill="1" applyAlignment="1">
      <alignment horizontal="left" vertical="top" wrapText="1"/>
    </xf>
    <xf numFmtId="0" fontId="4" fillId="3" borderId="0" xfId="1" applyFont="1" applyFill="1" applyAlignment="1">
      <alignment horizontal="left"/>
    </xf>
    <xf numFmtId="0" fontId="5" fillId="3" borderId="4" xfId="1" applyFont="1" applyFill="1" applyBorder="1" applyAlignment="1">
      <alignment horizontal="left" vertical="top"/>
    </xf>
    <xf numFmtId="0" fontId="6" fillId="3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/>
    </xf>
    <xf numFmtId="0" fontId="5" fillId="3" borderId="0" xfId="1" applyFont="1" applyFill="1" applyAlignment="1">
      <alignment horizontal="center" vertical="center"/>
    </xf>
    <xf numFmtId="0" fontId="4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5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4" fillId="3" borderId="7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5" xfId="1" applyFont="1" applyFill="1" applyBorder="1" applyAlignment="1">
      <alignment horizontal="center" vertical="center"/>
    </xf>
    <xf numFmtId="0" fontId="4" fillId="3" borderId="8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9" xfId="1" applyFont="1" applyFill="1" applyBorder="1" applyAlignment="1">
      <alignment horizontal="center" vertical="center"/>
    </xf>
    <xf numFmtId="0" fontId="5" fillId="3" borderId="17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5" fillId="3" borderId="19" xfId="1" applyFont="1" applyFill="1" applyBorder="1" applyAlignment="1">
      <alignment horizontal="center"/>
    </xf>
    <xf numFmtId="0" fontId="4" fillId="3" borderId="11" xfId="1" applyFont="1" applyFill="1" applyBorder="1" applyAlignment="1">
      <alignment horizontal="center" vertical="center"/>
    </xf>
    <xf numFmtId="0" fontId="4" fillId="3" borderId="12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/>
    </xf>
    <xf numFmtId="0" fontId="5" fillId="3" borderId="15" xfId="1" applyFont="1" applyFill="1" applyBorder="1" applyAlignment="1">
      <alignment horizontal="center"/>
    </xf>
    <xf numFmtId="0" fontId="5" fillId="3" borderId="16" xfId="1" applyFont="1" applyFill="1" applyBorder="1" applyAlignment="1">
      <alignment horizontal="center"/>
    </xf>
    <xf numFmtId="0" fontId="4" fillId="3" borderId="10" xfId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3" borderId="22" xfId="1" applyFont="1" applyFill="1" applyBorder="1" applyAlignment="1">
      <alignment horizontal="center"/>
    </xf>
    <xf numFmtId="0" fontId="5" fillId="3" borderId="23" xfId="1" applyFont="1" applyFill="1" applyBorder="1" applyAlignment="1">
      <alignment horizontal="center"/>
    </xf>
    <xf numFmtId="0" fontId="4" fillId="3" borderId="7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left"/>
    </xf>
    <xf numFmtId="0" fontId="4" fillId="3" borderId="4" xfId="1" applyFont="1" applyFill="1" applyBorder="1" applyAlignment="1">
      <alignment horizontal="center" vertical="center" wrapText="1"/>
    </xf>
    <xf numFmtId="0" fontId="4" fillId="3" borderId="0" xfId="1" applyFont="1" applyFill="1" applyAlignment="1">
      <alignment horizontal="center" vertical="center" wrapText="1"/>
    </xf>
    <xf numFmtId="0" fontId="4" fillId="3" borderId="17" xfId="1" applyFont="1" applyFill="1" applyBorder="1" applyAlignment="1">
      <alignment horizontal="center" vertical="center"/>
    </xf>
    <xf numFmtId="0" fontId="4" fillId="3" borderId="18" xfId="1" applyFont="1" applyFill="1" applyBorder="1" applyAlignment="1">
      <alignment horizontal="center" vertical="center"/>
    </xf>
    <xf numFmtId="0" fontId="4" fillId="3" borderId="5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</cellXfs>
  <cellStyles count="2">
    <cellStyle name="Normal" xfId="0" builtinId="0"/>
    <cellStyle name="Normal 2" xfId="1" xr:uid="{6402D2FE-3AB2-47B8-B577-C7BF231691E7}"/>
  </cellStyles>
  <dxfs count="304"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B7D8A0"/>
        </patternFill>
      </fill>
    </dxf>
    <dxf>
      <fill>
        <patternFill>
          <bgColor rgb="FFC0DDAD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0DDAD"/>
      <color rgb="FFB7D8A0"/>
      <color rgb="FFBDDBA9"/>
      <color rgb="FFB9D9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53340</xdr:rowOff>
    </xdr:from>
    <xdr:to>
      <xdr:col>5</xdr:col>
      <xdr:colOff>175260</xdr:colOff>
      <xdr:row>0</xdr:row>
      <xdr:rowOff>388620</xdr:rowOff>
    </xdr:to>
    <xdr:sp macro="[0]!CreateRepor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8A26473-D4E6-4471-AF11-589F1D5FF61F}"/>
            </a:ext>
          </a:extLst>
        </xdr:cNvPr>
        <xdr:cNvSpPr/>
      </xdr:nvSpPr>
      <xdr:spPr>
        <a:xfrm>
          <a:off x="2758440" y="53340"/>
          <a:ext cx="136398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400" b="1"/>
            <a:t>Створити звіти</a:t>
          </a:r>
        </a:p>
        <a:p>
          <a:pPr algn="ctr"/>
          <a:endParaRPr lang="uk-UA" sz="1400" b="1"/>
        </a:p>
      </xdr:txBody>
    </xdr:sp>
    <xdr:clientData/>
  </xdr:twoCellAnchor>
  <xdr:twoCellAnchor>
    <xdr:from>
      <xdr:col>5</xdr:col>
      <xdr:colOff>251460</xdr:colOff>
      <xdr:row>0</xdr:row>
      <xdr:rowOff>53340</xdr:rowOff>
    </xdr:from>
    <xdr:to>
      <xdr:col>9</xdr:col>
      <xdr:colOff>106680</xdr:colOff>
      <xdr:row>0</xdr:row>
      <xdr:rowOff>388620</xdr:rowOff>
    </xdr:to>
    <xdr:sp macro="[0]!PrintRepor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4248DC1-582E-4F43-A0F2-E9D6C957A8A7}"/>
            </a:ext>
          </a:extLst>
        </xdr:cNvPr>
        <xdr:cNvSpPr/>
      </xdr:nvSpPr>
      <xdr:spPr>
        <a:xfrm>
          <a:off x="4198620" y="53340"/>
          <a:ext cx="1493520" cy="335280"/>
        </a:xfrm>
        <a:prstGeom prst="roundRect">
          <a:avLst/>
        </a:prstGeom>
        <a:solidFill>
          <a:schemeClr val="accent4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400" b="1">
              <a:solidFill>
                <a:schemeClr val="bg1"/>
              </a:solidFill>
            </a:rPr>
            <a:t>Друкувати звіти</a:t>
          </a:r>
        </a:p>
      </xdr:txBody>
    </xdr:sp>
    <xdr:clientData/>
  </xdr:twoCellAnchor>
  <xdr:twoCellAnchor>
    <xdr:from>
      <xdr:col>12</xdr:col>
      <xdr:colOff>533400</xdr:colOff>
      <xdr:row>0</xdr:row>
      <xdr:rowOff>53340</xdr:rowOff>
    </xdr:from>
    <xdr:to>
      <xdr:col>15</xdr:col>
      <xdr:colOff>320040</xdr:colOff>
      <xdr:row>0</xdr:row>
      <xdr:rowOff>381000</xdr:rowOff>
    </xdr:to>
    <xdr:sp macro="[0]!DeleteShee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61E7E0-22C7-48CA-8B60-330DDCDE67BB}"/>
            </a:ext>
          </a:extLst>
        </xdr:cNvPr>
        <xdr:cNvSpPr/>
      </xdr:nvSpPr>
      <xdr:spPr>
        <a:xfrm>
          <a:off x="7421880" y="53340"/>
          <a:ext cx="1546860" cy="327660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400" b="1"/>
            <a:t>Видалити звіти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71120</xdr:colOff>
      <xdr:row>16</xdr:row>
      <xdr:rowOff>60960</xdr:rowOff>
    </xdr:from>
    <xdr:to>
      <xdr:col>9</xdr:col>
      <xdr:colOff>904240</xdr:colOff>
      <xdr:row>16</xdr:row>
      <xdr:rowOff>76200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D032BA32-50FF-4EE9-8E02-140570998AB3}"/>
            </a:ext>
          </a:extLst>
        </xdr:cNvPr>
        <xdr:cNvCxnSpPr/>
      </xdr:nvCxnSpPr>
      <xdr:spPr>
        <a:xfrm flipV="1">
          <a:off x="645160" y="2590800"/>
          <a:ext cx="5359400" cy="1524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35560</xdr:colOff>
      <xdr:row>16</xdr:row>
      <xdr:rowOff>60960</xdr:rowOff>
    </xdr:from>
    <xdr:to>
      <xdr:col>9</xdr:col>
      <xdr:colOff>919480</xdr:colOff>
      <xdr:row>31</xdr:row>
      <xdr:rowOff>45720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9B4226F-B6E2-48DC-81D0-4203FAB41814}"/>
            </a:ext>
          </a:extLst>
        </xdr:cNvPr>
        <xdr:cNvCxnSpPr/>
      </xdr:nvCxnSpPr>
      <xdr:spPr>
        <a:xfrm flipV="1">
          <a:off x="609600" y="2590800"/>
          <a:ext cx="5410200" cy="1813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35560</xdr:colOff>
      <xdr:row>31</xdr:row>
      <xdr:rowOff>45720</xdr:rowOff>
    </xdr:from>
    <xdr:to>
      <xdr:col>9</xdr:col>
      <xdr:colOff>878840</xdr:colOff>
      <xdr:row>31</xdr:row>
      <xdr:rowOff>50800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C07AEDAC-DA9A-49B3-B0F4-929586689131}"/>
            </a:ext>
          </a:extLst>
        </xdr:cNvPr>
        <xdr:cNvCxnSpPr/>
      </xdr:nvCxnSpPr>
      <xdr:spPr>
        <a:xfrm>
          <a:off x="609600" y="4404360"/>
          <a:ext cx="5369560" cy="5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0</xdr:rowOff>
    </xdr:from>
    <xdr:to>
      <xdr:col>8</xdr:col>
      <xdr:colOff>177800</xdr:colOff>
      <xdr:row>23</xdr:row>
      <xdr:rowOff>10160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3385B82-E578-4A37-B763-87D0D6051556}"/>
            </a:ext>
          </a:extLst>
        </xdr:cNvPr>
        <xdr:cNvCxnSpPr/>
      </xdr:nvCxnSpPr>
      <xdr:spPr>
        <a:xfrm>
          <a:off x="1574800" y="3383280"/>
          <a:ext cx="3398520" cy="101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53C0D-AF3A-4165-B3FD-6E18C149B96A}">
  <sheetPr codeName="Sheet1"/>
  <dimension ref="A1:AS63"/>
  <sheetViews>
    <sheetView tabSelected="1" workbookViewId="0">
      <selection activeCell="A4" sqref="A4"/>
    </sheetView>
  </sheetViews>
  <sheetFormatPr defaultRowHeight="14.4" x14ac:dyDescent="0.3"/>
  <cols>
    <col min="1" max="1" width="28.33203125" customWidth="1"/>
    <col min="2" max="2" width="14.88671875" customWidth="1"/>
    <col min="3" max="3" width="5.5546875" customWidth="1"/>
    <col min="4" max="4" width="5.88671875" customWidth="1"/>
    <col min="5" max="5" width="6.109375" customWidth="1"/>
    <col min="6" max="6" width="5.88671875" customWidth="1"/>
    <col min="7" max="7" width="6.109375" customWidth="1"/>
    <col min="8" max="8" width="6.33203125" customWidth="1"/>
    <col min="9" max="9" width="5.5546875" customWidth="1"/>
    <col min="10" max="10" width="6.44140625" customWidth="1"/>
    <col min="11" max="11" width="6.21875" customWidth="1"/>
    <col min="12" max="12" width="6.33203125" customWidth="1"/>
    <col min="13" max="13" width="7.88671875" customWidth="1"/>
  </cols>
  <sheetData>
    <row r="1" spans="1:45" ht="33.6" x14ac:dyDescent="0.65">
      <c r="A1" s="16" t="s">
        <v>143</v>
      </c>
      <c r="B1" s="16"/>
      <c r="C1" s="15"/>
      <c r="L1" s="3"/>
    </row>
    <row r="2" spans="1:45" ht="15.6" x14ac:dyDescent="0.3">
      <c r="A2" s="2" t="s">
        <v>0</v>
      </c>
      <c r="B2" s="2" t="s">
        <v>39</v>
      </c>
      <c r="C2" s="50">
        <v>1</v>
      </c>
      <c r="D2" s="50">
        <v>2</v>
      </c>
      <c r="E2" s="50">
        <v>3</v>
      </c>
      <c r="F2" s="50">
        <v>4</v>
      </c>
      <c r="G2" s="50">
        <v>5</v>
      </c>
      <c r="H2" s="50">
        <v>6</v>
      </c>
      <c r="I2" s="50">
        <v>7</v>
      </c>
      <c r="J2" s="50">
        <v>8</v>
      </c>
      <c r="K2" s="19">
        <v>9</v>
      </c>
      <c r="L2" s="50">
        <v>10</v>
      </c>
      <c r="M2" s="50">
        <v>11</v>
      </c>
      <c r="N2" s="50">
        <v>12</v>
      </c>
      <c r="O2" s="19">
        <v>13</v>
      </c>
      <c r="P2" s="19">
        <v>14</v>
      </c>
      <c r="Q2" s="19">
        <v>15</v>
      </c>
      <c r="R2" s="19">
        <v>16</v>
      </c>
      <c r="S2" s="19">
        <v>17</v>
      </c>
      <c r="T2" s="50">
        <v>18</v>
      </c>
      <c r="U2" s="50">
        <v>19</v>
      </c>
      <c r="V2" s="50">
        <v>20</v>
      </c>
      <c r="W2" s="50">
        <v>21</v>
      </c>
      <c r="X2" s="50">
        <v>22</v>
      </c>
      <c r="Y2" s="19">
        <v>23</v>
      </c>
      <c r="Z2" s="19">
        <v>24</v>
      </c>
      <c r="AA2" s="19">
        <v>25</v>
      </c>
      <c r="AB2" s="19">
        <v>26</v>
      </c>
      <c r="AC2" s="19">
        <v>27</v>
      </c>
      <c r="AD2" s="50">
        <v>28</v>
      </c>
      <c r="AE2" s="50">
        <v>29</v>
      </c>
      <c r="AF2" s="50">
        <v>30</v>
      </c>
      <c r="AG2" s="50">
        <v>31</v>
      </c>
      <c r="AH2" s="49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s="55" customFormat="1" ht="15.6" x14ac:dyDescent="0.3">
      <c r="A3" s="51" t="s">
        <v>151</v>
      </c>
      <c r="B3" s="51" t="s">
        <v>145</v>
      </c>
      <c r="C3" s="52"/>
      <c r="D3" s="52"/>
      <c r="E3" s="52"/>
      <c r="F3" s="52"/>
      <c r="G3" s="52"/>
      <c r="H3" s="52"/>
      <c r="I3" s="52"/>
      <c r="J3"/>
      <c r="L3" s="52"/>
      <c r="M3" s="52"/>
      <c r="N3" s="53"/>
      <c r="O3" s="53"/>
      <c r="P3" s="53"/>
      <c r="Q3" s="53"/>
      <c r="R3" s="53"/>
      <c r="S3" s="53"/>
      <c r="T3" s="53"/>
      <c r="U3" s="53"/>
      <c r="V3" s="53"/>
      <c r="W3" s="52"/>
      <c r="X3" s="53"/>
      <c r="Y3" s="53"/>
      <c r="Z3" s="53"/>
      <c r="AA3" s="53"/>
      <c r="AB3" s="53"/>
      <c r="AC3" s="53"/>
      <c r="AD3" s="53"/>
      <c r="AE3" s="53"/>
      <c r="AF3" s="53"/>
      <c r="AG3" s="52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</row>
    <row r="4" spans="1:45" s="55" customFormat="1" ht="15.6" x14ac:dyDescent="0.3">
      <c r="A4" s="51" t="s">
        <v>152</v>
      </c>
      <c r="B4" s="51" t="s">
        <v>138</v>
      </c>
      <c r="C4" s="52"/>
      <c r="D4" s="52"/>
      <c r="E4" s="52"/>
      <c r="F4" s="52"/>
      <c r="G4" s="52"/>
      <c r="H4" s="52"/>
      <c r="I4" s="52"/>
      <c r="J4"/>
      <c r="K4"/>
      <c r="L4" s="52"/>
      <c r="M4" s="52"/>
      <c r="N4" s="53"/>
      <c r="O4" s="53"/>
      <c r="P4" s="53"/>
      <c r="Q4" s="53"/>
      <c r="R4" s="53"/>
      <c r="S4" s="53"/>
      <c r="T4" s="53"/>
      <c r="U4" s="53"/>
      <c r="V4" s="53"/>
      <c r="W4" s="52"/>
      <c r="X4" s="53"/>
      <c r="Y4" s="53"/>
      <c r="Z4" s="53"/>
      <c r="AA4" s="53"/>
      <c r="AB4" s="53"/>
      <c r="AC4" s="53"/>
      <c r="AD4" s="53"/>
      <c r="AE4" s="53"/>
      <c r="AF4" s="53"/>
      <c r="AG4" s="52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</row>
    <row r="5" spans="1:45" x14ac:dyDescent="0.3">
      <c r="A5" s="1" t="s">
        <v>1</v>
      </c>
      <c r="B5" s="1"/>
      <c r="C5" s="1"/>
    </row>
    <row r="6" spans="1:45" x14ac:dyDescent="0.3">
      <c r="A6" t="s">
        <v>153</v>
      </c>
      <c r="B6" t="s">
        <v>40</v>
      </c>
      <c r="C6" t="s">
        <v>96</v>
      </c>
    </row>
    <row r="7" spans="1:45" x14ac:dyDescent="0.3">
      <c r="A7" t="s">
        <v>154</v>
      </c>
      <c r="B7" t="s">
        <v>41</v>
      </c>
      <c r="D7" t="s">
        <v>6</v>
      </c>
    </row>
    <row r="8" spans="1:45" x14ac:dyDescent="0.3">
      <c r="A8" t="s">
        <v>155</v>
      </c>
      <c r="B8" t="s">
        <v>41</v>
      </c>
      <c r="D8" t="s">
        <v>6</v>
      </c>
    </row>
    <row r="9" spans="1:45" x14ac:dyDescent="0.3">
      <c r="A9" t="s">
        <v>156</v>
      </c>
      <c r="B9" t="s">
        <v>41</v>
      </c>
      <c r="D9" t="s">
        <v>6</v>
      </c>
    </row>
    <row r="10" spans="1:45" x14ac:dyDescent="0.3">
      <c r="A10" t="s">
        <v>157</v>
      </c>
      <c r="B10" t="s">
        <v>41</v>
      </c>
      <c r="D10" t="s">
        <v>4</v>
      </c>
    </row>
    <row r="11" spans="1:45" x14ac:dyDescent="0.3">
      <c r="A11" t="s">
        <v>158</v>
      </c>
      <c r="B11" t="s">
        <v>41</v>
      </c>
      <c r="D11" t="s">
        <v>4</v>
      </c>
    </row>
    <row r="12" spans="1:45" x14ac:dyDescent="0.3">
      <c r="A12" t="s">
        <v>159</v>
      </c>
      <c r="B12" t="s">
        <v>41</v>
      </c>
      <c r="C12" t="s">
        <v>7</v>
      </c>
      <c r="D12" t="s">
        <v>7</v>
      </c>
    </row>
    <row r="13" spans="1:45" x14ac:dyDescent="0.3">
      <c r="A13" t="s">
        <v>160</v>
      </c>
      <c r="B13" t="s">
        <v>41</v>
      </c>
      <c r="C13" t="s">
        <v>5</v>
      </c>
    </row>
    <row r="15" spans="1:45" x14ac:dyDescent="0.3">
      <c r="A15" s="1" t="s">
        <v>2</v>
      </c>
      <c r="B15" s="1"/>
    </row>
    <row r="16" spans="1:45" x14ac:dyDescent="0.3">
      <c r="A16" t="s">
        <v>161</v>
      </c>
      <c r="B16" t="s">
        <v>40</v>
      </c>
      <c r="D16" t="s">
        <v>96</v>
      </c>
    </row>
    <row r="17" spans="1:4" x14ac:dyDescent="0.3">
      <c r="A17" t="s">
        <v>166</v>
      </c>
      <c r="B17" t="s">
        <v>41</v>
      </c>
      <c r="D17" t="s">
        <v>5</v>
      </c>
    </row>
    <row r="18" spans="1:4" x14ac:dyDescent="0.3">
      <c r="A18" t="s">
        <v>167</v>
      </c>
      <c r="B18" t="s">
        <v>41</v>
      </c>
      <c r="D18" t="s">
        <v>5</v>
      </c>
    </row>
    <row r="19" spans="1:4" x14ac:dyDescent="0.3">
      <c r="A19" t="s">
        <v>168</v>
      </c>
      <c r="B19" t="s">
        <v>41</v>
      </c>
      <c r="C19" t="s">
        <v>4</v>
      </c>
    </row>
    <row r="20" spans="1:4" x14ac:dyDescent="0.3">
      <c r="A20" t="s">
        <v>169</v>
      </c>
      <c r="B20" t="s">
        <v>41</v>
      </c>
      <c r="C20" t="s">
        <v>5</v>
      </c>
    </row>
    <row r="21" spans="1:4" x14ac:dyDescent="0.3">
      <c r="A21" t="s">
        <v>170</v>
      </c>
      <c r="B21" t="s">
        <v>41</v>
      </c>
      <c r="C21" t="s">
        <v>5</v>
      </c>
    </row>
    <row r="22" spans="1:4" x14ac:dyDescent="0.3">
      <c r="A22" t="s">
        <v>171</v>
      </c>
      <c r="B22" t="s">
        <v>42</v>
      </c>
      <c r="D22" t="s">
        <v>97</v>
      </c>
    </row>
    <row r="23" spans="1:4" x14ac:dyDescent="0.3">
      <c r="A23" t="s">
        <v>172</v>
      </c>
      <c r="B23" t="s">
        <v>41</v>
      </c>
      <c r="C23" t="s">
        <v>6</v>
      </c>
    </row>
    <row r="25" spans="1:4" x14ac:dyDescent="0.3">
      <c r="A25" s="1" t="s">
        <v>3</v>
      </c>
      <c r="B25" s="1"/>
    </row>
    <row r="26" spans="1:4" x14ac:dyDescent="0.3">
      <c r="A26" t="s">
        <v>173</v>
      </c>
      <c r="B26" t="s">
        <v>43</v>
      </c>
      <c r="C26" t="s">
        <v>7</v>
      </c>
    </row>
    <row r="27" spans="1:4" x14ac:dyDescent="0.3">
      <c r="A27" t="s">
        <v>174</v>
      </c>
      <c r="B27" t="s">
        <v>42</v>
      </c>
      <c r="C27" t="s">
        <v>97</v>
      </c>
    </row>
    <row r="28" spans="1:4" x14ac:dyDescent="0.3">
      <c r="A28" t="s">
        <v>175</v>
      </c>
      <c r="B28" t="s">
        <v>41</v>
      </c>
      <c r="C28" t="s">
        <v>6</v>
      </c>
    </row>
    <row r="29" spans="1:4" x14ac:dyDescent="0.3">
      <c r="A29" t="s">
        <v>176</v>
      </c>
      <c r="B29" t="s">
        <v>41</v>
      </c>
      <c r="C29" t="s">
        <v>4</v>
      </c>
    </row>
    <row r="30" spans="1:4" x14ac:dyDescent="0.3">
      <c r="A30" t="s">
        <v>177</v>
      </c>
      <c r="B30" t="s">
        <v>41</v>
      </c>
      <c r="C30" t="s">
        <v>6</v>
      </c>
    </row>
    <row r="31" spans="1:4" x14ac:dyDescent="0.3">
      <c r="A31" t="s">
        <v>178</v>
      </c>
      <c r="B31" t="s">
        <v>41</v>
      </c>
      <c r="D31" t="s">
        <v>5</v>
      </c>
    </row>
    <row r="32" spans="1:4" x14ac:dyDescent="0.3">
      <c r="A32" t="s">
        <v>179</v>
      </c>
      <c r="B32" t="s">
        <v>41</v>
      </c>
      <c r="C32" t="s">
        <v>4</v>
      </c>
    </row>
    <row r="33" spans="1:4" x14ac:dyDescent="0.3">
      <c r="A33" t="s">
        <v>180</v>
      </c>
      <c r="B33" t="s">
        <v>41</v>
      </c>
      <c r="D33" t="s">
        <v>4</v>
      </c>
    </row>
    <row r="36" spans="1:4" x14ac:dyDescent="0.3">
      <c r="A36" t="s">
        <v>36</v>
      </c>
      <c r="B36">
        <v>2022</v>
      </c>
    </row>
    <row r="37" spans="1:4" x14ac:dyDescent="0.3">
      <c r="A37" t="s">
        <v>37</v>
      </c>
      <c r="B37" s="3" t="s">
        <v>142</v>
      </c>
      <c r="C37" t="s">
        <v>144</v>
      </c>
    </row>
    <row r="38" spans="1:4" x14ac:dyDescent="0.3">
      <c r="A38" t="s">
        <v>38</v>
      </c>
      <c r="B38" t="s">
        <v>162</v>
      </c>
    </row>
    <row r="39" spans="1:4" x14ac:dyDescent="0.3">
      <c r="A39" t="s">
        <v>139</v>
      </c>
      <c r="B39" t="s">
        <v>138</v>
      </c>
      <c r="C39" t="s">
        <v>163</v>
      </c>
    </row>
    <row r="40" spans="1:4" x14ac:dyDescent="0.3">
      <c r="A40" t="s">
        <v>133</v>
      </c>
      <c r="B40" t="s">
        <v>165</v>
      </c>
    </row>
    <row r="41" spans="1:4" x14ac:dyDescent="0.3">
      <c r="A41" t="s">
        <v>135</v>
      </c>
      <c r="B41" t="s">
        <v>164</v>
      </c>
    </row>
    <row r="59" spans="1:2" x14ac:dyDescent="0.3">
      <c r="A59" s="1" t="s">
        <v>102</v>
      </c>
    </row>
    <row r="60" spans="1:2" x14ac:dyDescent="0.3">
      <c r="A60" t="s">
        <v>98</v>
      </c>
      <c r="B60" t="s">
        <v>103</v>
      </c>
    </row>
    <row r="61" spans="1:2" x14ac:dyDescent="0.3">
      <c r="A61" t="s">
        <v>99</v>
      </c>
      <c r="B61" t="s">
        <v>96</v>
      </c>
    </row>
    <row r="62" spans="1:2" x14ac:dyDescent="0.3">
      <c r="A62" t="s">
        <v>100</v>
      </c>
      <c r="B62" t="s">
        <v>97</v>
      </c>
    </row>
    <row r="63" spans="1:2" x14ac:dyDescent="0.3">
      <c r="A63" t="s">
        <v>101</v>
      </c>
      <c r="B63" t="s">
        <v>7</v>
      </c>
    </row>
  </sheetData>
  <phoneticPr fontId="13" type="noConversion"/>
  <conditionalFormatting sqref="C5:I5 F6:F12 L5:M5 J3:J11 K4:K13 C6:D13 E13 G13 O6:O13 S6:S13 U3:U13 C14:V33">
    <cfRule type="cellIs" dxfId="303" priority="374" operator="equal">
      <formula>"НК"</formula>
    </cfRule>
    <cfRule type="cellIs" dxfId="302" priority="375" operator="equal">
      <formula>"РК"</formula>
    </cfRule>
    <cfRule type="cellIs" dxfId="301" priority="376" operator="equal">
      <formula>"К1"</formula>
    </cfRule>
    <cfRule type="cellIs" dxfId="300" priority="377" operator="equal">
      <formula>"К2"</formula>
    </cfRule>
    <cfRule type="cellIs" dxfId="299" priority="378" operator="equal">
      <formula>"К3"</formula>
    </cfRule>
    <cfRule type="cellIs" dxfId="298" priority="379" operator="equal">
      <formula>"ДН"</formula>
    </cfRule>
  </conditionalFormatting>
  <conditionalFormatting sqref="E6:E11">
    <cfRule type="cellIs" dxfId="297" priority="350" operator="equal">
      <formula>"НК"</formula>
    </cfRule>
    <cfRule type="cellIs" dxfId="296" priority="351" operator="equal">
      <formula>"РК"</formula>
    </cfRule>
    <cfRule type="cellIs" dxfId="295" priority="352" operator="equal">
      <formula>"К1"</formula>
    </cfRule>
    <cfRule type="cellIs" dxfId="294" priority="353" operator="equal">
      <formula>"К2"</formula>
    </cfRule>
    <cfRule type="cellIs" dxfId="293" priority="354" operator="equal">
      <formula>"К3"</formula>
    </cfRule>
    <cfRule type="cellIs" dxfId="292" priority="355" operator="equal">
      <formula>"ДН"</formula>
    </cfRule>
  </conditionalFormatting>
  <conditionalFormatting sqref="E12">
    <cfRule type="cellIs" dxfId="291" priority="338" operator="equal">
      <formula>"НК"</formula>
    </cfRule>
    <cfRule type="cellIs" dxfId="290" priority="339" operator="equal">
      <formula>"РК"</formula>
    </cfRule>
    <cfRule type="cellIs" dxfId="289" priority="340" operator="equal">
      <formula>"К1"</formula>
    </cfRule>
    <cfRule type="cellIs" dxfId="288" priority="341" operator="equal">
      <formula>"К2"</formula>
    </cfRule>
    <cfRule type="cellIs" dxfId="287" priority="342" operator="equal">
      <formula>"К3"</formula>
    </cfRule>
    <cfRule type="cellIs" dxfId="286" priority="343" operator="equal">
      <formula>"ДН"</formula>
    </cfRule>
  </conditionalFormatting>
  <conditionalFormatting sqref="G6:G11">
    <cfRule type="cellIs" dxfId="285" priority="332" operator="equal">
      <formula>"НК"</formula>
    </cfRule>
    <cfRule type="cellIs" dxfId="284" priority="333" operator="equal">
      <formula>"РК"</formula>
    </cfRule>
    <cfRule type="cellIs" dxfId="283" priority="334" operator="equal">
      <formula>"К1"</formula>
    </cfRule>
    <cfRule type="cellIs" dxfId="282" priority="335" operator="equal">
      <formula>"К2"</formula>
    </cfRule>
    <cfRule type="cellIs" dxfId="281" priority="336" operator="equal">
      <formula>"К3"</formula>
    </cfRule>
    <cfRule type="cellIs" dxfId="280" priority="337" operator="equal">
      <formula>"ДН"</formula>
    </cfRule>
  </conditionalFormatting>
  <conditionalFormatting sqref="G12">
    <cfRule type="cellIs" dxfId="279" priority="326" operator="equal">
      <formula>"НК"</formula>
    </cfRule>
    <cfRule type="cellIs" dxfId="278" priority="327" operator="equal">
      <formula>"РК"</formula>
    </cfRule>
    <cfRule type="cellIs" dxfId="277" priority="328" operator="equal">
      <formula>"К1"</formula>
    </cfRule>
    <cfRule type="cellIs" dxfId="276" priority="329" operator="equal">
      <formula>"К2"</formula>
    </cfRule>
    <cfRule type="cellIs" dxfId="275" priority="330" operator="equal">
      <formula>"К3"</formula>
    </cfRule>
    <cfRule type="cellIs" dxfId="274" priority="331" operator="equal">
      <formula>"ДН"</formula>
    </cfRule>
  </conditionalFormatting>
  <conditionalFormatting sqref="H6:H12">
    <cfRule type="cellIs" dxfId="273" priority="320" operator="equal">
      <formula>"НК"</formula>
    </cfRule>
    <cfRule type="cellIs" dxfId="272" priority="321" operator="equal">
      <formula>"РК"</formula>
    </cfRule>
    <cfRule type="cellIs" dxfId="271" priority="322" operator="equal">
      <formula>"К1"</formula>
    </cfRule>
    <cfRule type="cellIs" dxfId="270" priority="323" operator="equal">
      <formula>"К2"</formula>
    </cfRule>
    <cfRule type="cellIs" dxfId="269" priority="324" operator="equal">
      <formula>"К3"</formula>
    </cfRule>
    <cfRule type="cellIs" dxfId="268" priority="325" operator="equal">
      <formula>"ДН"</formula>
    </cfRule>
  </conditionalFormatting>
  <conditionalFormatting sqref="I6:I13">
    <cfRule type="cellIs" dxfId="267" priority="314" operator="equal">
      <formula>"НК"</formula>
    </cfRule>
    <cfRule type="cellIs" dxfId="266" priority="315" operator="equal">
      <formula>"РК"</formula>
    </cfRule>
    <cfRule type="cellIs" dxfId="265" priority="316" operator="equal">
      <formula>"К1"</formula>
    </cfRule>
    <cfRule type="cellIs" dxfId="264" priority="317" operator="equal">
      <formula>"К2"</formula>
    </cfRule>
    <cfRule type="cellIs" dxfId="263" priority="318" operator="equal">
      <formula>"К3"</formula>
    </cfRule>
    <cfRule type="cellIs" dxfId="262" priority="319" operator="equal">
      <formula>"ДН"</formula>
    </cfRule>
  </conditionalFormatting>
  <conditionalFormatting sqref="L6:L12">
    <cfRule type="cellIs" dxfId="261" priority="278" operator="equal">
      <formula>"НК"</formula>
    </cfRule>
    <cfRule type="cellIs" dxfId="260" priority="279" operator="equal">
      <formula>"РК"</formula>
    </cfRule>
    <cfRule type="cellIs" dxfId="259" priority="280" operator="equal">
      <formula>"К1"</formula>
    </cfRule>
    <cfRule type="cellIs" dxfId="258" priority="281" operator="equal">
      <formula>"К2"</formula>
    </cfRule>
    <cfRule type="cellIs" dxfId="257" priority="282" operator="equal">
      <formula>"К3"</formula>
    </cfRule>
    <cfRule type="cellIs" dxfId="256" priority="283" operator="equal">
      <formula>"ДН"</formula>
    </cfRule>
  </conditionalFormatting>
  <conditionalFormatting sqref="M6:M13">
    <cfRule type="cellIs" dxfId="255" priority="254" operator="equal">
      <formula>"НК"</formula>
    </cfRule>
    <cfRule type="cellIs" dxfId="254" priority="255" operator="equal">
      <formula>"РК"</formula>
    </cfRule>
    <cfRule type="cellIs" dxfId="253" priority="256" operator="equal">
      <formula>"К1"</formula>
    </cfRule>
    <cfRule type="cellIs" dxfId="252" priority="257" operator="equal">
      <formula>"К2"</formula>
    </cfRule>
    <cfRule type="cellIs" dxfId="251" priority="258" operator="equal">
      <formula>"К3"</formula>
    </cfRule>
    <cfRule type="cellIs" dxfId="250" priority="259" operator="equal">
      <formula>"ДН"</formula>
    </cfRule>
  </conditionalFormatting>
  <conditionalFormatting sqref="N6:N13">
    <cfRule type="cellIs" dxfId="249" priority="248" operator="equal">
      <formula>"НК"</formula>
    </cfRule>
    <cfRule type="cellIs" dxfId="248" priority="249" operator="equal">
      <formula>"РК"</formula>
    </cfRule>
    <cfRule type="cellIs" dxfId="247" priority="250" operator="equal">
      <formula>"К1"</formula>
    </cfRule>
    <cfRule type="cellIs" dxfId="246" priority="251" operator="equal">
      <formula>"К2"</formula>
    </cfRule>
    <cfRule type="cellIs" dxfId="245" priority="252" operator="equal">
      <formula>"К3"</formula>
    </cfRule>
    <cfRule type="cellIs" dxfId="244" priority="253" operator="equal">
      <formula>"ДН"</formula>
    </cfRule>
  </conditionalFormatting>
  <conditionalFormatting sqref="O3:S5 V3:V5">
    <cfRule type="cellIs" dxfId="243" priority="223" operator="equal">
      <formula>"НК"</formula>
    </cfRule>
    <cfRule type="cellIs" dxfId="242" priority="224" operator="equal">
      <formula>"РК"</formula>
    </cfRule>
    <cfRule type="cellIs" dxfId="241" priority="225" operator="equal">
      <formula>"К1"</formula>
    </cfRule>
    <cfRule type="cellIs" dxfId="240" priority="226" operator="equal">
      <formula>"К2"</formula>
    </cfRule>
    <cfRule type="cellIs" dxfId="239" priority="227" operator="equal">
      <formula>"К3"</formula>
    </cfRule>
    <cfRule type="cellIs" dxfId="238" priority="228" operator="equal">
      <formula>"ДН"</formula>
    </cfRule>
  </conditionalFormatting>
  <conditionalFormatting sqref="P6:P13">
    <cfRule type="cellIs" dxfId="237" priority="217" operator="equal">
      <formula>"НК"</formula>
    </cfRule>
    <cfRule type="cellIs" dxfId="236" priority="218" operator="equal">
      <formula>"РК"</formula>
    </cfRule>
    <cfRule type="cellIs" dxfId="235" priority="219" operator="equal">
      <formula>"К1"</formula>
    </cfRule>
    <cfRule type="cellIs" dxfId="234" priority="220" operator="equal">
      <formula>"К2"</formula>
    </cfRule>
    <cfRule type="cellIs" dxfId="233" priority="221" operator="equal">
      <formula>"К3"</formula>
    </cfRule>
    <cfRule type="cellIs" dxfId="232" priority="222" operator="equal">
      <formula>"ДН"</formula>
    </cfRule>
  </conditionalFormatting>
  <conditionalFormatting sqref="Q6:Q13">
    <cfRule type="cellIs" dxfId="231" priority="193" operator="equal">
      <formula>"НК"</formula>
    </cfRule>
    <cfRule type="cellIs" dxfId="230" priority="194" operator="equal">
      <formula>"РК"</formula>
    </cfRule>
    <cfRule type="cellIs" dxfId="229" priority="195" operator="equal">
      <formula>"К1"</formula>
    </cfRule>
    <cfRule type="cellIs" dxfId="228" priority="196" operator="equal">
      <formula>"К2"</formula>
    </cfRule>
    <cfRule type="cellIs" dxfId="227" priority="197" operator="equal">
      <formula>"К3"</formula>
    </cfRule>
    <cfRule type="cellIs" dxfId="226" priority="198" operator="equal">
      <formula>"ДН"</formula>
    </cfRule>
  </conditionalFormatting>
  <conditionalFormatting sqref="R6:R13">
    <cfRule type="cellIs" dxfId="225" priority="187" operator="equal">
      <formula>"НК"</formula>
    </cfRule>
    <cfRule type="cellIs" dxfId="224" priority="188" operator="equal">
      <formula>"РК"</formula>
    </cfRule>
    <cfRule type="cellIs" dxfId="223" priority="189" operator="equal">
      <formula>"К1"</formula>
    </cfRule>
    <cfRule type="cellIs" dxfId="222" priority="190" operator="equal">
      <formula>"К2"</formula>
    </cfRule>
    <cfRule type="cellIs" dxfId="221" priority="191" operator="equal">
      <formula>"К3"</formula>
    </cfRule>
    <cfRule type="cellIs" dxfId="220" priority="192" operator="equal">
      <formula>"ДН"</formula>
    </cfRule>
  </conditionalFormatting>
  <conditionalFormatting sqref="T3:T5">
    <cfRule type="cellIs" dxfId="219" priority="169" operator="equal">
      <formula>"НК"</formula>
    </cfRule>
    <cfRule type="cellIs" dxfId="218" priority="170" operator="equal">
      <formula>"РК"</formula>
    </cfRule>
    <cfRule type="cellIs" dxfId="217" priority="171" operator="equal">
      <formula>"К1"</formula>
    </cfRule>
    <cfRule type="cellIs" dxfId="216" priority="172" operator="equal">
      <formula>"К2"</formula>
    </cfRule>
    <cfRule type="cellIs" dxfId="215" priority="173" operator="equal">
      <formula>"К3"</formula>
    </cfRule>
    <cfRule type="cellIs" dxfId="214" priority="174" operator="equal">
      <formula>"ДН"</formula>
    </cfRule>
  </conditionalFormatting>
  <conditionalFormatting sqref="T6:T13">
    <cfRule type="cellIs" dxfId="213" priority="163" operator="equal">
      <formula>"НК"</formula>
    </cfRule>
    <cfRule type="cellIs" dxfId="212" priority="164" operator="equal">
      <formula>"РК"</formula>
    </cfRule>
    <cfRule type="cellIs" dxfId="211" priority="165" operator="equal">
      <formula>"К1"</formula>
    </cfRule>
    <cfRule type="cellIs" dxfId="210" priority="166" operator="equal">
      <formula>"К2"</formula>
    </cfRule>
    <cfRule type="cellIs" dxfId="209" priority="167" operator="equal">
      <formula>"К3"</formula>
    </cfRule>
    <cfRule type="cellIs" dxfId="208" priority="168" operator="equal">
      <formula>"ДН"</formula>
    </cfRule>
  </conditionalFormatting>
  <conditionalFormatting sqref="V6:V13">
    <cfRule type="cellIs" dxfId="207" priority="139" operator="equal">
      <formula>"НК"</formula>
    </cfRule>
    <cfRule type="cellIs" dxfId="206" priority="140" operator="equal">
      <formula>"РК"</formula>
    </cfRule>
    <cfRule type="cellIs" dxfId="205" priority="141" operator="equal">
      <formula>"К1"</formula>
    </cfRule>
    <cfRule type="cellIs" dxfId="204" priority="142" operator="equal">
      <formula>"К2"</formula>
    </cfRule>
    <cfRule type="cellIs" dxfId="203" priority="143" operator="equal">
      <formula>"К3"</formula>
    </cfRule>
    <cfRule type="cellIs" dxfId="202" priority="144" operator="equal">
      <formula>"ДН"</formula>
    </cfRule>
  </conditionalFormatting>
  <conditionalFormatting sqref="W5 Y6:Y13 AC6:AC13 AE3:AE13 W14:AF33">
    <cfRule type="cellIs" dxfId="201" priority="67" operator="equal">
      <formula>"НК"</formula>
    </cfRule>
    <cfRule type="cellIs" dxfId="200" priority="68" operator="equal">
      <formula>"РК"</formula>
    </cfRule>
    <cfRule type="cellIs" dxfId="199" priority="69" operator="equal">
      <formula>"К1"</formula>
    </cfRule>
    <cfRule type="cellIs" dxfId="198" priority="70" operator="equal">
      <formula>"К2"</formula>
    </cfRule>
    <cfRule type="cellIs" dxfId="197" priority="71" operator="equal">
      <formula>"К3"</formula>
    </cfRule>
    <cfRule type="cellIs" dxfId="196" priority="72" operator="equal">
      <formula>"ДН"</formula>
    </cfRule>
  </conditionalFormatting>
  <conditionalFormatting sqref="W6:W13">
    <cfRule type="cellIs" dxfId="195" priority="61" operator="equal">
      <formula>"НК"</formula>
    </cfRule>
    <cfRule type="cellIs" dxfId="194" priority="62" operator="equal">
      <formula>"РК"</formula>
    </cfRule>
    <cfRule type="cellIs" dxfId="193" priority="63" operator="equal">
      <formula>"К1"</formula>
    </cfRule>
    <cfRule type="cellIs" dxfId="192" priority="64" operator="equal">
      <formula>"К2"</formula>
    </cfRule>
    <cfRule type="cellIs" dxfId="191" priority="65" operator="equal">
      <formula>"К3"</formula>
    </cfRule>
    <cfRule type="cellIs" dxfId="190" priority="66" operator="equal">
      <formula>"ДН"</formula>
    </cfRule>
  </conditionalFormatting>
  <conditionalFormatting sqref="X6:X13">
    <cfRule type="cellIs" dxfId="189" priority="55" operator="equal">
      <formula>"НК"</formula>
    </cfRule>
    <cfRule type="cellIs" dxfId="188" priority="56" operator="equal">
      <formula>"РК"</formula>
    </cfRule>
    <cfRule type="cellIs" dxfId="187" priority="57" operator="equal">
      <formula>"К1"</formula>
    </cfRule>
    <cfRule type="cellIs" dxfId="186" priority="58" operator="equal">
      <formula>"К2"</formula>
    </cfRule>
    <cfRule type="cellIs" dxfId="185" priority="59" operator="equal">
      <formula>"К3"</formula>
    </cfRule>
    <cfRule type="cellIs" dxfId="184" priority="60" operator="equal">
      <formula>"ДН"</formula>
    </cfRule>
  </conditionalFormatting>
  <conditionalFormatting sqref="Y3:AC5 AF3:AF5">
    <cfRule type="cellIs" dxfId="183" priority="51" operator="equal">
      <formula>"К1"</formula>
    </cfRule>
    <cfRule type="cellIs" dxfId="182" priority="52" operator="equal">
      <formula>"К2"</formula>
    </cfRule>
    <cfRule type="cellIs" dxfId="181" priority="53" operator="equal">
      <formula>"К3"</formula>
    </cfRule>
    <cfRule type="cellIs" dxfId="180" priority="54" operator="equal">
      <formula>"ДН"</formula>
    </cfRule>
  </conditionalFormatting>
  <conditionalFormatting sqref="C3:AH34">
    <cfRule type="cellIs" dxfId="179" priority="1" operator="equal">
      <formula>"НК"</formula>
    </cfRule>
    <cfRule type="cellIs" dxfId="178" priority="2" operator="equal">
      <formula>"РК"</formula>
    </cfRule>
    <cfRule type="cellIs" dxfId="177" priority="3" operator="equal">
      <formula>"К1"</formula>
    </cfRule>
    <cfRule type="cellIs" dxfId="176" priority="4" operator="equal">
      <formula>"К2"</formula>
    </cfRule>
    <cfRule type="cellIs" dxfId="175" priority="5" operator="equal">
      <formula>"К3"</formula>
    </cfRule>
    <cfRule type="cellIs" dxfId="174" priority="6" operator="equal">
      <formula>"ДН"</formula>
    </cfRule>
  </conditionalFormatting>
  <pageMargins left="0.7" right="0.7" top="0.75" bottom="0.75" header="0.3" footer="0.3"/>
  <pageSetup paperSize="9" orientation="portrait" horizontalDpi="4294967293" verticalDpi="360" r:id="rId1"/>
  <ignoredErrors>
    <ignoredError sqref="B37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4D531-5C6D-409F-823C-45024A0E903C}">
  <sheetPr codeName="Sheet2"/>
  <dimension ref="A1:K55"/>
  <sheetViews>
    <sheetView topLeftCell="A19" zoomScale="150" zoomScaleNormal="150" workbookViewId="0">
      <selection activeCell="B29" sqref="B29:AC30"/>
    </sheetView>
  </sheetViews>
  <sheetFormatPr defaultColWidth="12.109375" defaultRowHeight="13.2" zeroHeight="1" x14ac:dyDescent="0.25"/>
  <cols>
    <col min="1" max="1" width="4.88671875" style="4" customWidth="1"/>
    <col min="2" max="2" width="3.44140625" style="4" customWidth="1"/>
    <col min="3" max="3" width="14.5546875" style="4" customWidth="1"/>
    <col min="4" max="4" width="10.109375" style="4" customWidth="1"/>
    <col min="5" max="5" width="4.44140625" style="4" customWidth="1"/>
    <col min="6" max="6" width="15.5546875" style="4" customWidth="1"/>
    <col min="7" max="7" width="7.88671875" style="4" customWidth="1"/>
    <col min="8" max="8" width="8.88671875" style="4" customWidth="1"/>
    <col min="9" max="9" width="4.44140625" style="4" customWidth="1"/>
    <col min="10" max="10" width="13.77734375" style="4" customWidth="1"/>
    <col min="11" max="11" width="1" style="4" customWidth="1"/>
    <col min="12" max="16384" width="12.109375" style="4"/>
  </cols>
  <sheetData>
    <row r="1" spans="1:11" x14ac:dyDescent="0.25">
      <c r="A1" s="5">
        <v>22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x14ac:dyDescent="0.25">
      <c r="A2" s="5"/>
      <c r="B2" s="5"/>
      <c r="C2" s="5"/>
      <c r="D2" s="5"/>
      <c r="E2" s="5"/>
      <c r="F2" s="5"/>
      <c r="G2" s="5"/>
      <c r="H2" s="61" t="s">
        <v>35</v>
      </c>
      <c r="I2" s="61"/>
      <c r="J2" s="61"/>
      <c r="K2" s="5"/>
    </row>
    <row r="3" spans="1:11" ht="6" customHeigh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ht="6" customHeigh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ht="6" customHeight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5"/>
      <c r="B6" s="5" t="s">
        <v>34</v>
      </c>
      <c r="C6" s="5"/>
      <c r="D6" s="5"/>
      <c r="E6" s="5"/>
      <c r="F6" s="64" t="s">
        <v>33</v>
      </c>
      <c r="G6" s="64"/>
      <c r="H6" s="14"/>
      <c r="I6" s="14"/>
      <c r="J6" s="14"/>
      <c r="K6" s="14"/>
    </row>
    <row r="7" spans="1:11" x14ac:dyDescent="0.25">
      <c r="A7" s="5"/>
      <c r="B7" s="5" t="s">
        <v>32</v>
      </c>
      <c r="C7" s="5"/>
      <c r="D7" s="5"/>
      <c r="E7" s="5"/>
      <c r="F7" s="63" t="s">
        <v>31</v>
      </c>
      <c r="G7" s="63"/>
      <c r="H7" s="14"/>
      <c r="I7" s="17"/>
      <c r="J7" s="14"/>
      <c r="K7" s="14"/>
    </row>
    <row r="8" spans="1:11" x14ac:dyDescent="0.25">
      <c r="A8" s="5"/>
      <c r="B8" s="5" t="s">
        <v>30</v>
      </c>
      <c r="C8" s="5"/>
      <c r="D8" s="5"/>
      <c r="E8" s="5"/>
      <c r="F8" s="63" t="e" cm="1">
        <f t="array" aca="1" ref="F8" ca="1" xml:space="preserve"> "з " &amp; DateCurrent() &amp; " на " &amp; DateNext() &amp; "  " &amp; Schedule!B36 &amp; " року"</f>
        <v>#VALUE!</v>
      </c>
      <c r="G8" s="63"/>
      <c r="H8" s="14"/>
      <c r="I8" s="14"/>
      <c r="J8" s="14"/>
      <c r="K8" s="14"/>
    </row>
    <row r="9" spans="1:11" ht="5.0999999999999996" customHeight="1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ht="5.0999999999999996" customHeight="1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ht="5.0999999999999996" customHeigh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ht="15.9" customHeight="1" x14ac:dyDescent="0.25">
      <c r="A12" s="5"/>
      <c r="B12" s="5"/>
      <c r="C12" s="5"/>
      <c r="D12" s="5"/>
      <c r="E12" s="63" t="s">
        <v>29</v>
      </c>
      <c r="F12" s="63"/>
      <c r="G12" s="63"/>
      <c r="H12" s="5"/>
      <c r="I12" s="5"/>
      <c r="J12" s="5"/>
      <c r="K12" s="5"/>
    </row>
    <row r="13" spans="1:11" x14ac:dyDescent="0.25">
      <c r="A13" s="5"/>
      <c r="B13" s="5"/>
      <c r="C13" s="5"/>
      <c r="D13" s="5"/>
      <c r="E13" s="63" t="s">
        <v>28</v>
      </c>
      <c r="F13" s="63"/>
      <c r="G13" s="63"/>
      <c r="H13" s="5"/>
      <c r="I13" s="13"/>
      <c r="J13" s="13"/>
      <c r="K13" s="13"/>
    </row>
    <row r="14" spans="1:11" ht="3.9" customHeight="1" x14ac:dyDescent="0.25">
      <c r="A14" s="5"/>
      <c r="B14" s="5"/>
      <c r="C14" s="5"/>
      <c r="D14" s="5"/>
      <c r="E14" s="5"/>
      <c r="F14" s="7"/>
      <c r="G14" s="7"/>
      <c r="H14" s="7"/>
      <c r="I14" s="13"/>
      <c r="J14" s="13"/>
      <c r="K14" s="13"/>
    </row>
    <row r="15" spans="1:11" ht="15.9" customHeight="1" x14ac:dyDescent="0.25">
      <c r="A15" s="5"/>
      <c r="B15" s="68" t="s">
        <v>27</v>
      </c>
      <c r="C15" s="68" t="s">
        <v>26</v>
      </c>
      <c r="D15" s="62" t="s">
        <v>25</v>
      </c>
      <c r="E15" s="62"/>
      <c r="F15" s="62"/>
      <c r="G15" s="62"/>
      <c r="H15" s="62" t="s">
        <v>24</v>
      </c>
      <c r="I15" s="62"/>
      <c r="J15" s="62"/>
      <c r="K15" s="13"/>
    </row>
    <row r="16" spans="1:11" ht="52.8" x14ac:dyDescent="0.25">
      <c r="A16" s="5"/>
      <c r="B16" s="68"/>
      <c r="C16" s="68"/>
      <c r="D16" s="9" t="s">
        <v>21</v>
      </c>
      <c r="E16" s="12" t="s">
        <v>20</v>
      </c>
      <c r="F16" s="9" t="s">
        <v>23</v>
      </c>
      <c r="G16" s="9" t="s">
        <v>22</v>
      </c>
      <c r="H16" s="10" t="s">
        <v>21</v>
      </c>
      <c r="I16" s="12" t="s">
        <v>20</v>
      </c>
      <c r="J16" s="9" t="s">
        <v>19</v>
      </c>
      <c r="K16" s="11"/>
    </row>
    <row r="17" spans="1:11" ht="10.050000000000001" customHeight="1" x14ac:dyDescent="0.25">
      <c r="A17" s="5"/>
      <c r="B17" s="60">
        <v>1</v>
      </c>
      <c r="C17" s="8"/>
      <c r="D17" s="8"/>
      <c r="E17" s="8"/>
      <c r="F17" s="8"/>
      <c r="G17" s="8"/>
      <c r="H17" s="8"/>
      <c r="I17" s="8"/>
      <c r="J17" s="8"/>
      <c r="K17" s="5"/>
    </row>
    <row r="18" spans="1:11" ht="10.050000000000001" customHeight="1" x14ac:dyDescent="0.25">
      <c r="A18" s="5"/>
      <c r="B18" s="60"/>
      <c r="C18" s="8"/>
      <c r="D18" s="8"/>
      <c r="E18" s="8"/>
      <c r="F18" s="8"/>
      <c r="G18" s="8"/>
      <c r="H18" s="8"/>
      <c r="I18" s="8"/>
      <c r="J18" s="8"/>
      <c r="K18" s="5"/>
    </row>
    <row r="19" spans="1:11" ht="10.050000000000001" customHeight="1" x14ac:dyDescent="0.25">
      <c r="A19" s="5"/>
      <c r="B19" s="60">
        <v>2</v>
      </c>
      <c r="C19" s="8"/>
      <c r="D19" s="8"/>
      <c r="E19" s="8"/>
      <c r="F19" s="8"/>
      <c r="G19" s="8"/>
      <c r="H19" s="8"/>
      <c r="I19" s="8"/>
      <c r="J19" s="8"/>
      <c r="K19" s="5"/>
    </row>
    <row r="20" spans="1:11" ht="10.050000000000001" customHeight="1" x14ac:dyDescent="0.25">
      <c r="A20" s="5"/>
      <c r="B20" s="60"/>
      <c r="C20" s="8"/>
      <c r="D20" s="8"/>
      <c r="E20" s="8"/>
      <c r="F20" s="8"/>
      <c r="G20" s="8"/>
      <c r="H20" s="8"/>
      <c r="I20" s="8"/>
      <c r="J20" s="8"/>
      <c r="K20" s="5"/>
    </row>
    <row r="21" spans="1:11" ht="10.050000000000001" customHeight="1" x14ac:dyDescent="0.25">
      <c r="A21" s="5"/>
      <c r="B21" s="60">
        <v>3</v>
      </c>
      <c r="C21" s="8"/>
      <c r="D21" s="8"/>
      <c r="E21" s="8"/>
      <c r="F21" s="8"/>
      <c r="G21" s="8"/>
      <c r="H21" s="8"/>
      <c r="I21" s="8"/>
      <c r="J21" s="8"/>
      <c r="K21" s="5"/>
    </row>
    <row r="22" spans="1:11" ht="10.050000000000001" customHeight="1" x14ac:dyDescent="0.25">
      <c r="A22" s="5"/>
      <c r="B22" s="60"/>
      <c r="C22" s="8"/>
      <c r="D22" s="8"/>
      <c r="E22" s="8"/>
      <c r="F22" s="8"/>
      <c r="G22" s="8"/>
      <c r="H22" s="8"/>
      <c r="I22" s="8"/>
      <c r="J22" s="8"/>
      <c r="K22" s="5"/>
    </row>
    <row r="23" spans="1:11" ht="10.050000000000001" customHeight="1" x14ac:dyDescent="0.25">
      <c r="A23" s="5"/>
      <c r="B23" s="60">
        <v>4</v>
      </c>
      <c r="C23" s="8"/>
      <c r="D23" s="8"/>
      <c r="E23" s="8"/>
      <c r="F23" s="8"/>
      <c r="G23" s="8"/>
      <c r="H23" s="8"/>
      <c r="I23" s="8"/>
      <c r="J23" s="8"/>
      <c r="K23" s="5"/>
    </row>
    <row r="24" spans="1:11" ht="10.050000000000001" customHeight="1" x14ac:dyDescent="0.25">
      <c r="A24" s="5"/>
      <c r="B24" s="60"/>
      <c r="C24" s="8"/>
      <c r="D24" s="8"/>
      <c r="E24" s="8"/>
      <c r="F24" s="8"/>
      <c r="G24" s="8"/>
      <c r="H24" s="8"/>
      <c r="I24" s="8"/>
      <c r="J24" s="8"/>
      <c r="K24" s="5"/>
    </row>
    <row r="25" spans="1:11" ht="10.050000000000001" customHeight="1" x14ac:dyDescent="0.25">
      <c r="A25" s="5"/>
      <c r="B25" s="60">
        <v>5</v>
      </c>
      <c r="C25" s="8"/>
      <c r="D25" s="8"/>
      <c r="E25" s="8"/>
      <c r="F25" s="8"/>
      <c r="G25" s="8"/>
      <c r="H25" s="8"/>
      <c r="I25" s="8"/>
      <c r="J25" s="8"/>
      <c r="K25" s="5"/>
    </row>
    <row r="26" spans="1:11" ht="10.050000000000001" customHeight="1" x14ac:dyDescent="0.25">
      <c r="A26" s="5"/>
      <c r="B26" s="60"/>
      <c r="C26" s="8"/>
      <c r="D26" s="8"/>
      <c r="E26" s="8"/>
      <c r="F26" s="8"/>
      <c r="G26" s="8"/>
      <c r="H26" s="8"/>
      <c r="I26" s="8"/>
      <c r="J26" s="8"/>
      <c r="K26" s="5"/>
    </row>
    <row r="27" spans="1:11" ht="10.050000000000001" customHeight="1" x14ac:dyDescent="0.25">
      <c r="A27" s="5"/>
      <c r="B27" s="60">
        <v>6</v>
      </c>
      <c r="C27" s="8"/>
      <c r="D27" s="8"/>
      <c r="E27" s="8"/>
      <c r="F27" s="8"/>
      <c r="G27" s="8"/>
      <c r="H27" s="8"/>
      <c r="I27" s="8"/>
      <c r="J27" s="8"/>
      <c r="K27" s="5"/>
    </row>
    <row r="28" spans="1:11" ht="10.050000000000001" customHeight="1" x14ac:dyDescent="0.25">
      <c r="A28" s="5"/>
      <c r="B28" s="60"/>
      <c r="C28" s="8"/>
      <c r="D28" s="8"/>
      <c r="E28" s="8"/>
      <c r="F28" s="8"/>
      <c r="G28" s="8"/>
      <c r="H28" s="8"/>
      <c r="I28" s="8"/>
      <c r="J28" s="8"/>
      <c r="K28" s="5"/>
    </row>
    <row r="29" spans="1:11" ht="10.050000000000001" customHeight="1" x14ac:dyDescent="0.25">
      <c r="A29" s="5"/>
      <c r="B29" s="60">
        <v>7</v>
      </c>
      <c r="C29" s="8"/>
      <c r="D29" s="8"/>
      <c r="E29" s="8"/>
      <c r="F29" s="8"/>
      <c r="G29" s="8"/>
      <c r="H29" s="8"/>
      <c r="I29" s="8"/>
      <c r="J29" s="8"/>
      <c r="K29" s="5"/>
    </row>
    <row r="30" spans="1:11" ht="10.050000000000001" customHeight="1" x14ac:dyDescent="0.25">
      <c r="A30" s="5"/>
      <c r="B30" s="60"/>
      <c r="C30" s="8"/>
      <c r="D30" s="8"/>
      <c r="E30" s="8"/>
      <c r="F30" s="8"/>
      <c r="G30" s="8"/>
      <c r="H30" s="8"/>
      <c r="I30" s="8"/>
      <c r="J30" s="8"/>
      <c r="K30" s="5"/>
    </row>
    <row r="31" spans="1:11" ht="10.050000000000001" customHeight="1" x14ac:dyDescent="0.25">
      <c r="A31" s="5"/>
      <c r="B31" s="60">
        <v>8</v>
      </c>
      <c r="C31" s="8"/>
      <c r="D31" s="8"/>
      <c r="E31" s="8"/>
      <c r="F31" s="8"/>
      <c r="G31" s="8"/>
      <c r="H31" s="8"/>
      <c r="I31" s="8"/>
      <c r="J31" s="8"/>
      <c r="K31" s="5"/>
    </row>
    <row r="32" spans="1:11" ht="10.050000000000001" customHeight="1" x14ac:dyDescent="0.25">
      <c r="A32" s="5"/>
      <c r="B32" s="60"/>
      <c r="C32" s="8"/>
      <c r="D32" s="8"/>
      <c r="E32" s="8"/>
      <c r="F32" s="8"/>
      <c r="G32" s="8"/>
      <c r="H32" s="8"/>
      <c r="I32" s="8"/>
      <c r="J32" s="8"/>
      <c r="K32" s="5"/>
    </row>
    <row r="33" spans="1:1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25">
      <c r="A34" s="5"/>
      <c r="B34" s="5" t="s">
        <v>18</v>
      </c>
      <c r="C34" s="5"/>
      <c r="D34" s="42"/>
      <c r="E34" s="5"/>
      <c r="F34" s="5"/>
      <c r="G34" s="5"/>
      <c r="H34" s="5"/>
      <c r="I34" s="5"/>
      <c r="J34" s="5"/>
      <c r="K34" s="5"/>
    </row>
    <row r="35" spans="1:11" x14ac:dyDescent="0.25">
      <c r="A35" s="5"/>
      <c r="B35" s="5"/>
      <c r="C35" s="5"/>
      <c r="D35" s="6" t="s">
        <v>8</v>
      </c>
      <c r="E35" s="5"/>
      <c r="F35" s="5"/>
      <c r="G35" s="5"/>
      <c r="H35" s="5"/>
      <c r="I35" s="5"/>
      <c r="J35" s="5"/>
      <c r="K35" s="5"/>
    </row>
    <row r="36" spans="1:11" x14ac:dyDescent="0.25">
      <c r="A36" s="5"/>
      <c r="B36" s="5"/>
      <c r="C36" s="5"/>
      <c r="D36" s="6"/>
      <c r="E36" s="5"/>
      <c r="F36" s="5"/>
      <c r="G36" s="5"/>
      <c r="H36" s="5"/>
      <c r="I36" s="5"/>
      <c r="J36" s="5"/>
      <c r="K36" s="5"/>
    </row>
    <row r="37" spans="1:11" ht="39.6" x14ac:dyDescent="0.25">
      <c r="A37" s="5"/>
      <c r="B37" s="68" t="s">
        <v>17</v>
      </c>
      <c r="C37" s="68"/>
      <c r="D37" s="62" t="s">
        <v>16</v>
      </c>
      <c r="E37" s="62"/>
      <c r="F37" s="10" t="s">
        <v>15</v>
      </c>
      <c r="G37" s="62" t="s">
        <v>14</v>
      </c>
      <c r="H37" s="62"/>
      <c r="I37" s="62"/>
      <c r="J37" s="9" t="s">
        <v>13</v>
      </c>
      <c r="K37" s="5"/>
    </row>
    <row r="38" spans="1:11" ht="10.95" customHeight="1" x14ac:dyDescent="0.25">
      <c r="A38" s="5"/>
      <c r="B38" s="68"/>
      <c r="C38" s="68"/>
      <c r="D38" s="60" t="s">
        <v>12</v>
      </c>
      <c r="E38" s="60"/>
      <c r="F38" s="5" t="str" cm="1">
        <f t="array" aca="1" ref="F38" ca="1">GetHeadRank()</f>
        <v/>
      </c>
      <c r="G38" s="65" t="str" cm="1">
        <f t="array" aca="1" ref="G38" ca="1">GetHeadName()</f>
        <v/>
      </c>
      <c r="H38" s="66"/>
      <c r="I38" s="67"/>
      <c r="J38" s="8"/>
      <c r="K38" s="5"/>
    </row>
    <row r="39" spans="1:11" ht="10.95" customHeight="1" x14ac:dyDescent="0.25">
      <c r="A39" s="5"/>
      <c r="B39" s="68"/>
      <c r="C39" s="68"/>
      <c r="D39" s="60" t="s">
        <v>11</v>
      </c>
      <c r="E39" s="60"/>
      <c r="F39" s="8" t="str" cm="1">
        <f t="array" aca="1" ref="F39" ca="1">GetBreederRank()</f>
        <v/>
      </c>
      <c r="G39" s="60" t="str" cm="1">
        <f t="array" aca="1" ref="G39" ca="1">GetBreederName()</f>
        <v/>
      </c>
      <c r="H39" s="60"/>
      <c r="I39" s="60"/>
      <c r="J39" s="8"/>
      <c r="K39" s="5"/>
    </row>
    <row r="40" spans="1:11" ht="10.95" customHeight="1" x14ac:dyDescent="0.25">
      <c r="A40" s="5"/>
      <c r="B40" s="68"/>
      <c r="C40" s="68"/>
      <c r="D40" s="60" t="s">
        <v>10</v>
      </c>
      <c r="E40" s="60"/>
      <c r="F40" s="8" t="e" cm="1">
        <f t="array" aca="1" ref="F40" ca="1">GetGuardRank(1,1)</f>
        <v>#VALUE!</v>
      </c>
      <c r="G40" s="60" t="e" cm="1">
        <f t="array" aca="1" ref="G40" ca="1">GetGuardName(1,1)</f>
        <v>#VALUE!</v>
      </c>
      <c r="H40" s="60"/>
      <c r="I40" s="60"/>
      <c r="J40" s="8"/>
      <c r="K40" s="5"/>
    </row>
    <row r="41" spans="1:11" ht="10.95" customHeight="1" x14ac:dyDescent="0.25">
      <c r="A41" s="5"/>
      <c r="B41" s="68"/>
      <c r="C41" s="68"/>
      <c r="D41" s="60" t="s">
        <v>10</v>
      </c>
      <c r="E41" s="60"/>
      <c r="F41" s="8" t="e" cm="1">
        <f t="array" aca="1" ref="F41" ca="1">GetGuardRank(2,1)</f>
        <v>#VALUE!</v>
      </c>
      <c r="G41" s="60" t="e" cm="1">
        <f t="array" aca="1" ref="G41" ca="1">GetGuardName(2,1)</f>
        <v>#VALUE!</v>
      </c>
      <c r="H41" s="60"/>
      <c r="I41" s="60"/>
      <c r="J41" s="8"/>
      <c r="K41" s="5"/>
    </row>
    <row r="42" spans="1:11" ht="10.95" customHeight="1" x14ac:dyDescent="0.25">
      <c r="A42" s="5"/>
      <c r="B42" s="68"/>
      <c r="C42" s="68"/>
      <c r="D42" s="60" t="s">
        <v>10</v>
      </c>
      <c r="E42" s="60"/>
      <c r="F42" s="8" t="e" cm="1">
        <f t="array" aca="1" ref="F42" ca="1">GetGuardRank(3,1)</f>
        <v>#VALUE!</v>
      </c>
      <c r="G42" s="60" t="e" cm="1">
        <f t="array" aca="1" ref="G42" ca="1">GetGuardName(3,1)</f>
        <v>#VALUE!</v>
      </c>
      <c r="H42" s="60"/>
      <c r="I42" s="60"/>
      <c r="J42" s="8"/>
      <c r="K42" s="5"/>
    </row>
    <row r="43" spans="1:11" ht="10.95" customHeight="1" x14ac:dyDescent="0.25">
      <c r="A43" s="5"/>
      <c r="B43" s="68"/>
      <c r="C43" s="68"/>
      <c r="D43" s="60" t="s">
        <v>10</v>
      </c>
      <c r="E43" s="60"/>
      <c r="F43" s="8" t="e" cm="1">
        <f t="array" aca="1" ref="F43" ca="1">GetGuardRank(1,2)</f>
        <v>#VALUE!</v>
      </c>
      <c r="G43" s="60" t="e" cm="1">
        <f t="array" aca="1" ref="G43" ca="1">GetGuardName(1,2)</f>
        <v>#VALUE!</v>
      </c>
      <c r="H43" s="60"/>
      <c r="I43" s="60"/>
      <c r="J43" s="8"/>
      <c r="K43" s="5"/>
    </row>
    <row r="44" spans="1:11" ht="10.95" customHeight="1" x14ac:dyDescent="0.25">
      <c r="A44" s="5"/>
      <c r="B44" s="68"/>
      <c r="C44" s="68"/>
      <c r="D44" s="60" t="s">
        <v>10</v>
      </c>
      <c r="E44" s="60"/>
      <c r="F44" s="8" t="e" cm="1">
        <f t="array" aca="1" ref="F44" ca="1">GetGuardRank(2,2)</f>
        <v>#VALUE!</v>
      </c>
      <c r="G44" s="60" t="e" cm="1">
        <f t="array" aca="1" ref="G44" ca="1">GetGuardName(2,2)</f>
        <v>#VALUE!</v>
      </c>
      <c r="H44" s="60"/>
      <c r="I44" s="60"/>
      <c r="J44" s="8"/>
      <c r="K44" s="5"/>
    </row>
    <row r="45" spans="1:11" ht="10.95" customHeight="1" x14ac:dyDescent="0.25">
      <c r="A45" s="5"/>
      <c r="B45" s="68"/>
      <c r="C45" s="68"/>
      <c r="D45" s="60" t="s">
        <v>10</v>
      </c>
      <c r="E45" s="60"/>
      <c r="F45" s="8" t="e" cm="1">
        <f t="array" aca="1" ref="F45" ca="1">GetGuardRank(3,2)</f>
        <v>#VALUE!</v>
      </c>
      <c r="G45" s="60" t="e" cm="1">
        <f t="array" aca="1" ref="G45" ca="1">GetGuardName(3,2)</f>
        <v>#VALUE!</v>
      </c>
      <c r="H45" s="60"/>
      <c r="I45" s="60"/>
      <c r="J45" s="8"/>
      <c r="K45" s="5"/>
    </row>
    <row r="46" spans="1:11" ht="10.95" customHeight="1" x14ac:dyDescent="0.25">
      <c r="A46" s="5"/>
      <c r="B46" s="5"/>
      <c r="C46" s="5"/>
      <c r="D46" s="60" t="s">
        <v>10</v>
      </c>
      <c r="E46" s="60"/>
      <c r="F46" s="8" t="e" cm="1">
        <f t="array" aca="1" ref="F46" ca="1">GetGuardRank(1,3)</f>
        <v>#VALUE!</v>
      </c>
      <c r="G46" s="60" t="e" cm="1">
        <f t="array" aca="1" ref="G46" ca="1">GetGuardName(1,3)</f>
        <v>#VALUE!</v>
      </c>
      <c r="H46" s="60"/>
      <c r="I46" s="60"/>
      <c r="J46" s="8"/>
      <c r="K46" s="5"/>
    </row>
    <row r="47" spans="1:11" ht="10.95" customHeight="1" x14ac:dyDescent="0.25">
      <c r="A47" s="5"/>
      <c r="B47" s="5"/>
      <c r="C47" s="5"/>
      <c r="D47" s="60" t="s">
        <v>10</v>
      </c>
      <c r="E47" s="60"/>
      <c r="F47" s="8" t="e" cm="1">
        <f t="array" aca="1" ref="F47" ca="1">GetGuardRank(2,3)</f>
        <v>#VALUE!</v>
      </c>
      <c r="G47" s="60" t="e" cm="1">
        <f t="array" aca="1" ref="G47" ca="1">GetGuardName(2,3)</f>
        <v>#VALUE!</v>
      </c>
      <c r="H47" s="60"/>
      <c r="I47" s="60"/>
      <c r="J47" s="8"/>
      <c r="K47" s="5"/>
    </row>
    <row r="48" spans="1:11" ht="10.95" customHeight="1" x14ac:dyDescent="0.25">
      <c r="A48" s="5"/>
      <c r="B48" s="5"/>
      <c r="C48" s="5"/>
      <c r="D48" s="60" t="s">
        <v>10</v>
      </c>
      <c r="E48" s="60"/>
      <c r="F48" s="8" t="e" cm="1">
        <f t="array" aca="1" ref="F48" ca="1">GetGuardRank(3,3)</f>
        <v>#VALUE!</v>
      </c>
      <c r="G48" s="60" t="e" cm="1">
        <f t="array" aca="1" ref="G48" ca="1">GetGuardName(3,3)</f>
        <v>#VALUE!</v>
      </c>
      <c r="H48" s="60"/>
      <c r="I48" s="60"/>
      <c r="J48" s="8"/>
      <c r="K48" s="5"/>
    </row>
    <row r="49" spans="1:11" ht="10.95" customHeight="1" x14ac:dyDescent="0.25">
      <c r="A49" s="5"/>
      <c r="B49" s="5"/>
      <c r="C49" s="5"/>
      <c r="D49" s="7"/>
      <c r="E49" s="7"/>
      <c r="F49" s="5"/>
      <c r="G49" s="7"/>
      <c r="H49" s="7"/>
      <c r="I49" s="7"/>
      <c r="J49" s="5"/>
      <c r="K49" s="5"/>
    </row>
    <row r="50" spans="1:11" x14ac:dyDescent="0.25">
      <c r="A50" s="5"/>
      <c r="B50" s="5" t="s">
        <v>9</v>
      </c>
      <c r="C50" s="5"/>
      <c r="D50" s="43" t="str">
        <f>"    "&amp;Schedule!B39&amp;"                                "&amp;Schedule!B38&amp;"                                               "</f>
        <v xml:space="preserve">    мол. лейтенант                                Командир М. І.                                               </v>
      </c>
      <c r="E50" s="44"/>
      <c r="F50" s="44"/>
      <c r="G50" s="5"/>
      <c r="H50" s="5"/>
      <c r="I50" s="5"/>
      <c r="J50" s="5"/>
      <c r="K50" s="5"/>
    </row>
    <row r="51" spans="1:11" x14ac:dyDescent="0.25">
      <c r="A51" s="5"/>
      <c r="B51" s="5"/>
      <c r="C51" s="5"/>
      <c r="D51" s="6" t="s">
        <v>8</v>
      </c>
      <c r="E51" s="5"/>
      <c r="F51" s="5"/>
      <c r="G51" s="5"/>
      <c r="H51" s="5"/>
      <c r="I51" s="5"/>
      <c r="J51" s="5"/>
      <c r="K51" s="5"/>
    </row>
    <row r="52" spans="1:11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</row>
    <row r="53" spans="1:11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</row>
    <row r="54" spans="1:11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</row>
    <row r="55" spans="1:11" x14ac:dyDescent="0.25"/>
  </sheetData>
  <mergeCells count="43">
    <mergeCell ref="B15:B16"/>
    <mergeCell ref="C15:C16"/>
    <mergeCell ref="B37:C45"/>
    <mergeCell ref="D37:E37"/>
    <mergeCell ref="D42:E42"/>
    <mergeCell ref="D43:E43"/>
    <mergeCell ref="D44:E44"/>
    <mergeCell ref="D45:E45"/>
    <mergeCell ref="B19:B20"/>
    <mergeCell ref="B21:B22"/>
    <mergeCell ref="B29:B30"/>
    <mergeCell ref="B17:B18"/>
    <mergeCell ref="B31:B32"/>
    <mergeCell ref="B23:B24"/>
    <mergeCell ref="B25:B26"/>
    <mergeCell ref="B27:B28"/>
    <mergeCell ref="G38:I38"/>
    <mergeCell ref="G39:I39"/>
    <mergeCell ref="G40:I40"/>
    <mergeCell ref="G41:I41"/>
    <mergeCell ref="D46:E46"/>
    <mergeCell ref="G46:I46"/>
    <mergeCell ref="D38:E38"/>
    <mergeCell ref="D39:E39"/>
    <mergeCell ref="D40:E40"/>
    <mergeCell ref="D41:E41"/>
    <mergeCell ref="H2:J2"/>
    <mergeCell ref="G37:I37"/>
    <mergeCell ref="H15:J15"/>
    <mergeCell ref="E12:G12"/>
    <mergeCell ref="E13:G13"/>
    <mergeCell ref="F6:G6"/>
    <mergeCell ref="F7:G7"/>
    <mergeCell ref="F8:G8"/>
    <mergeCell ref="D15:G15"/>
    <mergeCell ref="D47:E47"/>
    <mergeCell ref="G47:I47"/>
    <mergeCell ref="D48:E48"/>
    <mergeCell ref="G48:I48"/>
    <mergeCell ref="G42:I42"/>
    <mergeCell ref="G43:I43"/>
    <mergeCell ref="G44:I44"/>
    <mergeCell ref="G45:I45"/>
  </mergeCells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FCC16-2630-4D60-BA5C-A918B71E9BAB}">
  <sheetPr codeName="Sheet8"/>
  <dimension ref="A1:K57"/>
  <sheetViews>
    <sheetView topLeftCell="A28" zoomScale="124" zoomScaleNormal="124" workbookViewId="0">
      <selection activeCell="B29" sqref="B29:AC30"/>
    </sheetView>
  </sheetViews>
  <sheetFormatPr defaultColWidth="0" defaultRowHeight="13.2" zeroHeight="1" x14ac:dyDescent="0.25"/>
  <cols>
    <col min="1" max="1" width="7.21875" style="5" customWidth="1"/>
    <col min="2" max="2" width="9.77734375" style="5" customWidth="1"/>
    <col min="3" max="3" width="7" style="5" customWidth="1"/>
    <col min="4" max="4" width="10.5546875" style="5" customWidth="1"/>
    <col min="5" max="5" width="14.6640625" style="5" customWidth="1"/>
    <col min="6" max="6" width="13" style="5" customWidth="1"/>
    <col min="7" max="7" width="10.5546875" style="5" customWidth="1"/>
    <col min="8" max="8" width="13.6640625" style="5" customWidth="1"/>
    <col min="9" max="9" width="8.33203125" style="5" customWidth="1"/>
    <col min="10" max="10" width="1.33203125" style="5" customWidth="1"/>
    <col min="11" max="11" width="9.77734375" style="5" hidden="1" customWidth="1"/>
    <col min="12" max="16384" width="12" style="5" hidden="1"/>
  </cols>
  <sheetData>
    <row r="1" spans="1:11" ht="4.2" customHeight="1" x14ac:dyDescent="0.25">
      <c r="A1" s="5">
        <v>22</v>
      </c>
    </row>
    <row r="2" spans="1:11" ht="13.95" customHeight="1" x14ac:dyDescent="0.25">
      <c r="A2" s="5" t="s">
        <v>64</v>
      </c>
      <c r="D2" s="5" t="s">
        <v>65</v>
      </c>
    </row>
    <row r="3" spans="1:11" ht="13.95" customHeight="1" x14ac:dyDescent="0.25">
      <c r="D3" s="5" t="s">
        <v>146</v>
      </c>
    </row>
    <row r="4" spans="1:11" ht="12" customHeight="1" x14ac:dyDescent="0.25">
      <c r="D4" s="5" t="s">
        <v>66</v>
      </c>
    </row>
    <row r="5" spans="1:11" ht="10.95" customHeight="1" x14ac:dyDescent="0.25">
      <c r="D5" s="22" t="s">
        <v>67</v>
      </c>
    </row>
    <row r="6" spans="1:11" ht="10.95" customHeight="1" x14ac:dyDescent="0.25"/>
    <row r="7" spans="1:11" ht="13.95" customHeight="1" x14ac:dyDescent="0.3">
      <c r="C7" s="58"/>
      <c r="D7" s="57" t="s">
        <v>148</v>
      </c>
      <c r="E7" s="23"/>
      <c r="G7" s="5" t="str">
        <f>" варти       "&amp;Schedule!B40&amp;" "&amp;Schedule!C40</f>
        <v xml:space="preserve"> варти       Обєкт 007 </v>
      </c>
      <c r="H7" s="59"/>
      <c r="I7" s="14"/>
      <c r="J7" s="14"/>
      <c r="K7" s="14"/>
    </row>
    <row r="8" spans="1:11" ht="13.95" customHeight="1" x14ac:dyDescent="0.25">
      <c r="B8" s="69" t="str" cm="1">
        <f t="array" aca="1" ref="B8" ca="1">"      "&amp;DateCurrent(TRUE)&amp;"      "</f>
        <v xml:space="preserve">      Квітень 2022.04.2022      </v>
      </c>
      <c r="C8" s="69"/>
      <c r="D8" s="69"/>
      <c r="E8" s="69"/>
      <c r="F8" s="70" t="s">
        <v>68</v>
      </c>
      <c r="G8" s="70"/>
      <c r="H8" s="22"/>
      <c r="I8" s="14"/>
      <c r="J8" s="14"/>
      <c r="K8" s="14"/>
    </row>
    <row r="9" spans="1:11" ht="10.95" customHeight="1" x14ac:dyDescent="0.25">
      <c r="B9" s="71" t="s">
        <v>69</v>
      </c>
      <c r="C9" s="71"/>
      <c r="D9" s="71"/>
      <c r="E9" s="71"/>
      <c r="G9" s="14"/>
      <c r="H9" s="14"/>
      <c r="I9" s="14"/>
      <c r="J9" s="14"/>
      <c r="K9" s="14"/>
    </row>
    <row r="10" spans="1:11" ht="13.95" customHeight="1" x14ac:dyDescent="0.25">
      <c r="A10" s="5" t="s">
        <v>70</v>
      </c>
    </row>
    <row r="11" spans="1:11" ht="13.95" customHeight="1" x14ac:dyDescent="0.25">
      <c r="A11" s="72" t="s">
        <v>71</v>
      </c>
      <c r="B11" s="72"/>
      <c r="C11" s="72"/>
      <c r="D11" s="72"/>
      <c r="E11" s="72"/>
      <c r="F11" s="72"/>
      <c r="G11" s="72"/>
      <c r="H11" s="72"/>
      <c r="I11" s="14"/>
    </row>
    <row r="12" spans="1:11" ht="13.95" customHeight="1" x14ac:dyDescent="0.25">
      <c r="A12" s="72"/>
      <c r="B12" s="72"/>
      <c r="C12" s="72"/>
      <c r="D12" s="72"/>
      <c r="E12" s="72"/>
      <c r="F12" s="72"/>
      <c r="G12" s="72"/>
      <c r="H12" s="72"/>
      <c r="I12" s="14"/>
    </row>
    <row r="13" spans="1:11" ht="12" customHeight="1" x14ac:dyDescent="0.25">
      <c r="A13" s="72" t="s">
        <v>72</v>
      </c>
      <c r="B13" s="72"/>
      <c r="C13" s="72"/>
      <c r="D13" s="72"/>
      <c r="E13" s="72"/>
      <c r="F13" s="72"/>
      <c r="G13" s="72"/>
      <c r="H13" s="72"/>
      <c r="I13" s="14"/>
    </row>
    <row r="14" spans="1:11" ht="10.5" customHeight="1" x14ac:dyDescent="0.25">
      <c r="A14" s="18"/>
      <c r="B14" s="18"/>
      <c r="C14" s="18"/>
      <c r="D14" s="18"/>
      <c r="E14" s="24"/>
      <c r="F14" s="24"/>
      <c r="G14" s="24"/>
      <c r="H14" s="24"/>
      <c r="I14" s="25"/>
      <c r="J14" s="21"/>
      <c r="K14" s="21"/>
    </row>
    <row r="15" spans="1:11" ht="10.5" customHeight="1" x14ac:dyDescent="0.25">
      <c r="A15" s="26"/>
      <c r="B15" s="26"/>
      <c r="C15" s="27"/>
      <c r="D15" s="28"/>
      <c r="E15" s="27"/>
      <c r="F15" s="27"/>
      <c r="G15" s="29"/>
      <c r="H15" s="28"/>
      <c r="I15" s="28"/>
      <c r="J15" s="30"/>
      <c r="K15" s="11"/>
    </row>
    <row r="16" spans="1:11" ht="10.5" customHeight="1" thickBot="1" x14ac:dyDescent="0.3">
      <c r="A16" s="31"/>
      <c r="B16" s="31"/>
      <c r="C16" s="31"/>
      <c r="D16" s="31"/>
      <c r="E16" s="31"/>
      <c r="F16" s="31"/>
      <c r="G16" s="31"/>
      <c r="H16" s="31"/>
      <c r="I16" s="31"/>
    </row>
    <row r="17" spans="1:9" ht="10.5" customHeight="1" thickBot="1" x14ac:dyDescent="0.3">
      <c r="A17" s="32"/>
      <c r="B17" s="31"/>
      <c r="C17" s="32"/>
      <c r="D17" s="32"/>
      <c r="E17" s="32"/>
      <c r="F17" s="32"/>
      <c r="G17" s="32"/>
      <c r="H17" s="32"/>
      <c r="I17" s="32"/>
    </row>
    <row r="18" spans="1:9" ht="13.95" customHeight="1" x14ac:dyDescent="0.25">
      <c r="A18" s="5" t="s">
        <v>134</v>
      </c>
      <c r="B18" s="5" t="str" cm="1">
        <f t="array" aca="1" ref="B18" ca="1">"             "&amp;GetHeadRank(TRUE) &amp; "                   " &amp; GetHeadName(TRUE)</f>
        <v xml:space="preserve">                                </v>
      </c>
    </row>
    <row r="19" spans="1:9" ht="13.95" customHeight="1" x14ac:dyDescent="0.25">
      <c r="B19" s="46" t="s">
        <v>73</v>
      </c>
      <c r="C19" s="36"/>
      <c r="D19" s="36"/>
      <c r="E19" s="36"/>
    </row>
    <row r="20" spans="1:9" ht="13.95" customHeight="1" x14ac:dyDescent="0.25">
      <c r="A20" s="5" t="s">
        <v>74</v>
      </c>
      <c r="C20" s="18" t="str" cm="1">
        <f t="array" aca="1" ref="C20" ca="1">GetHeadRank() &amp; "                   " &amp; GetHeadName()</f>
        <v xml:space="preserve">                   </v>
      </c>
      <c r="D20" s="18"/>
      <c r="E20" s="18"/>
    </row>
    <row r="21" spans="1:9" ht="13.95" customHeight="1" x14ac:dyDescent="0.25">
      <c r="B21" s="33" t="s">
        <v>73</v>
      </c>
    </row>
    <row r="22" spans="1:9" ht="6" customHeight="1" x14ac:dyDescent="0.25"/>
    <row r="23" spans="1:9" ht="13.95" customHeight="1" x14ac:dyDescent="0.25">
      <c r="E23" s="34" t="s">
        <v>75</v>
      </c>
      <c r="G23" s="35"/>
      <c r="H23" s="35"/>
      <c r="I23" s="35"/>
    </row>
    <row r="24" spans="1:9" ht="12" customHeight="1" x14ac:dyDescent="0.25">
      <c r="E24" s="5" t="str">
        <f>" Командир "&amp;Schedule!B40&amp;"  "&amp;Schedule!B39&amp;"                "&amp;Schedule!B38</f>
        <v xml:space="preserve"> Командир Обєкт 007  мол. лейтенант                Командир М. І.</v>
      </c>
    </row>
    <row r="25" spans="1:9" ht="13.95" customHeight="1" x14ac:dyDescent="0.25">
      <c r="E25" s="36"/>
      <c r="F25" s="46" t="s">
        <v>76</v>
      </c>
      <c r="G25" s="46"/>
      <c r="H25" s="46"/>
      <c r="I25" s="46"/>
    </row>
    <row r="26" spans="1:9" ht="7.05" customHeight="1" x14ac:dyDescent="0.25"/>
    <row r="27" spans="1:9" ht="13.95" customHeight="1" x14ac:dyDescent="0.25">
      <c r="A27" s="5" t="s">
        <v>77</v>
      </c>
      <c r="F27" s="5" t="s">
        <v>78</v>
      </c>
    </row>
    <row r="28" spans="1:9" ht="13.95" customHeight="1" x14ac:dyDescent="0.25">
      <c r="A28" s="5" t="str">
        <f>"   "&amp;Schedule!B39&amp;"                             "&amp;Schedule!B38</f>
        <v xml:space="preserve">   мол. лейтенант                             Командир М. І.</v>
      </c>
      <c r="F28" s="5" t="str">
        <f>"   "&amp;Schedule!B39&amp;"                             "&amp;Schedule!B38</f>
        <v xml:space="preserve">   мол. лейтенант                             Командир М. І.</v>
      </c>
    </row>
    <row r="29" spans="1:9" ht="13.95" customHeight="1" x14ac:dyDescent="0.25">
      <c r="A29" s="46" t="s">
        <v>73</v>
      </c>
      <c r="B29" s="36"/>
      <c r="C29" s="36"/>
      <c r="D29" s="36"/>
      <c r="F29" s="46" t="s">
        <v>73</v>
      </c>
      <c r="G29" s="36"/>
      <c r="H29" s="36"/>
      <c r="I29" s="36"/>
    </row>
    <row r="30" spans="1:9" ht="13.95" customHeight="1" x14ac:dyDescent="0.25">
      <c r="A30" s="5" t="str">
        <f>"«  "&amp;$A$1&amp;"  »   "&amp;Schedule!C37&amp;"          "&amp;Schedule!B36&amp;" р."</f>
        <v>«  22  »   квітня          2022 р.</v>
      </c>
      <c r="F30" s="5" t="str">
        <f>"«  "&amp;$A$1&amp;"  »   "&amp;Schedule!C37&amp;"          "&amp;Schedule!B36&amp;" р."</f>
        <v>«  22  »   квітня          2022 р.</v>
      </c>
    </row>
    <row r="31" spans="1:9" ht="7.8" customHeight="1" x14ac:dyDescent="0.25">
      <c r="A31" s="36"/>
      <c r="B31" s="36"/>
      <c r="C31" s="36"/>
      <c r="F31" s="36"/>
      <c r="G31" s="36"/>
    </row>
    <row r="32" spans="1:9" ht="18" customHeight="1" x14ac:dyDescent="0.3">
      <c r="E32" s="57" t="s">
        <v>79</v>
      </c>
    </row>
    <row r="33" spans="1:10" ht="13.95" customHeight="1" x14ac:dyDescent="0.25">
      <c r="A33" s="5" t="str">
        <f>"Варти (блокпоста)           "&amp;Schedule!B40&amp;" "&amp;Schedule!C40&amp;"                "</f>
        <v xml:space="preserve">Варти (блокпоста)           Обєкт 007                 </v>
      </c>
      <c r="C33" s="47"/>
      <c r="D33" s="47"/>
      <c r="E33" s="56" t="s">
        <v>147</v>
      </c>
      <c r="F33" s="35" t="str">
        <f>"войськової частини "&amp;Schedule!B41</f>
        <v>войськової частини Т01234</v>
      </c>
      <c r="G33" s="20"/>
      <c r="H33" s="20"/>
    </row>
    <row r="34" spans="1:10" ht="13.95" customHeight="1" x14ac:dyDescent="0.25">
      <c r="C34" s="70" t="s">
        <v>68</v>
      </c>
      <c r="D34" s="70"/>
      <c r="E34" s="44"/>
      <c r="F34" s="70" t="s">
        <v>80</v>
      </c>
      <c r="G34" s="70"/>
      <c r="H34" s="36"/>
    </row>
    <row r="35" spans="1:10" ht="13.95" customHeight="1" x14ac:dyDescent="0.25">
      <c r="A35" s="5" t="s">
        <v>81</v>
      </c>
      <c r="D35" s="73" t="str" cm="1">
        <f t="array" aca="1" ref="D35" ca="1">"    "&amp;GetHeadRank()&amp;" "&amp;GetHeadName()&amp;"               "</f>
        <v xml:space="preserve">                    </v>
      </c>
      <c r="E35" s="73"/>
      <c r="F35" s="73"/>
      <c r="G35" s="73"/>
      <c r="H35" s="73"/>
    </row>
    <row r="36" spans="1:10" ht="13.95" customHeight="1" x14ac:dyDescent="0.25">
      <c r="D36" s="74" t="s">
        <v>82</v>
      </c>
      <c r="E36" s="74"/>
      <c r="F36" s="74"/>
      <c r="G36" s="74"/>
    </row>
    <row r="37" spans="1:10" ht="7.95" customHeight="1" x14ac:dyDescent="0.25">
      <c r="D37" s="6"/>
    </row>
    <row r="38" spans="1:10" ht="13.95" customHeight="1" x14ac:dyDescent="0.25">
      <c r="A38" s="68" t="s">
        <v>83</v>
      </c>
      <c r="B38" s="68" t="s">
        <v>84</v>
      </c>
      <c r="C38" s="68"/>
      <c r="D38" s="62" t="s">
        <v>85</v>
      </c>
      <c r="E38" s="62"/>
      <c r="F38" s="62"/>
      <c r="G38" s="62"/>
      <c r="H38" s="62"/>
      <c r="I38" s="62"/>
      <c r="J38" s="30"/>
    </row>
    <row r="39" spans="1:10" ht="43.05" customHeight="1" x14ac:dyDescent="0.25">
      <c r="A39" s="68"/>
      <c r="B39" s="68"/>
      <c r="C39" s="68"/>
      <c r="D39" s="62" t="s">
        <v>86</v>
      </c>
      <c r="E39" s="62"/>
      <c r="F39" s="62" t="s">
        <v>87</v>
      </c>
      <c r="G39" s="62"/>
      <c r="H39" s="62" t="s">
        <v>88</v>
      </c>
      <c r="I39" s="62"/>
    </row>
    <row r="40" spans="1:10" ht="12" customHeight="1" x14ac:dyDescent="0.25">
      <c r="A40" s="8"/>
      <c r="B40" s="75" t="str" cm="1">
        <f t="array" aca="1" ref="B40" ca="1">GetBreederRank() &amp; " " &amp; GetBreederName()</f>
        <v xml:space="preserve"> </v>
      </c>
      <c r="C40" s="75"/>
      <c r="D40" s="60"/>
      <c r="E40" s="60"/>
      <c r="F40" s="60"/>
      <c r="G40" s="60"/>
      <c r="H40" s="60"/>
      <c r="I40" s="60"/>
    </row>
    <row r="41" spans="1:10" ht="12" customHeight="1" x14ac:dyDescent="0.25">
      <c r="A41" s="8">
        <v>1</v>
      </c>
      <c r="B41" s="68"/>
      <c r="C41" s="68"/>
      <c r="D41" s="76" t="e" cm="1">
        <f t="array" aca="1" ref="D41" ca="1">GetGuardRank(1,1) &amp; " " &amp; GetGuardName(1,1)</f>
        <v>#VALUE!</v>
      </c>
      <c r="E41" s="76"/>
      <c r="F41" s="76" t="e" cm="1">
        <f t="array" aca="1" ref="F41" ca="1">GetGuardRank(1,2) &amp; " " &amp; GetGuardName(1,2)</f>
        <v>#VALUE!</v>
      </c>
      <c r="G41" s="76"/>
      <c r="H41" s="76" t="e" cm="1">
        <f t="array" aca="1" ref="H41" ca="1">GetGuardRank(1,3) &amp; " " &amp; GetGuardName(1,3)</f>
        <v>#VALUE!</v>
      </c>
      <c r="I41" s="76"/>
    </row>
    <row r="42" spans="1:10" ht="12" customHeight="1" x14ac:dyDescent="0.25">
      <c r="A42" s="8">
        <v>2</v>
      </c>
      <c r="B42" s="68"/>
      <c r="C42" s="68"/>
      <c r="D42" s="76" t="e" cm="1">
        <f t="array" aca="1" ref="D42" ca="1">GetGuardRank(2,1) &amp; " " &amp; GetGuardName(2,1)</f>
        <v>#VALUE!</v>
      </c>
      <c r="E42" s="76"/>
      <c r="F42" s="76" t="e" cm="1">
        <f t="array" aca="1" ref="F42" ca="1">GetGuardRank(2,2) &amp; " " &amp; GetGuardName(2,2)</f>
        <v>#VALUE!</v>
      </c>
      <c r="G42" s="76"/>
      <c r="H42" s="76" t="e" cm="1">
        <f t="array" aca="1" ref="H42" ca="1">GetGuardRank(2,3) &amp; " " &amp; GetGuardName(2,3)</f>
        <v>#VALUE!</v>
      </c>
      <c r="I42" s="76"/>
    </row>
    <row r="43" spans="1:10" ht="12" customHeight="1" x14ac:dyDescent="0.25">
      <c r="A43" s="8">
        <v>3</v>
      </c>
      <c r="B43" s="68"/>
      <c r="C43" s="68"/>
      <c r="D43" s="76" t="e" cm="1">
        <f t="array" aca="1" ref="D43" ca="1">GetGuardRank(3,1) &amp; " " &amp; GetGuardName(3,1)</f>
        <v>#VALUE!</v>
      </c>
      <c r="E43" s="76"/>
      <c r="F43" s="76" t="e" cm="1">
        <f t="array" aca="1" ref="F43" ca="1">GetGuardRank(3,2) &amp; " " &amp; GetGuardName(3,2)</f>
        <v>#VALUE!</v>
      </c>
      <c r="G43" s="76"/>
      <c r="H43" s="76" t="e" cm="1">
        <f t="array" aca="1" ref="H43" ca="1">GetGuardRank(3,3) &amp; " " &amp; GetGuardName(3,3)</f>
        <v>#VALUE!</v>
      </c>
      <c r="I43" s="76"/>
    </row>
    <row r="44" spans="1:10" ht="13.95" customHeight="1" x14ac:dyDescent="0.25">
      <c r="A44" s="5" t="s">
        <v>89</v>
      </c>
      <c r="D44" s="36"/>
      <c r="E44" s="36"/>
      <c r="F44" s="36"/>
      <c r="G44" s="36"/>
      <c r="H44" s="36"/>
    </row>
    <row r="45" spans="1:10" ht="13.95" customHeight="1" x14ac:dyDescent="0.25">
      <c r="B45" s="71" t="s">
        <v>82</v>
      </c>
      <c r="C45" s="71"/>
      <c r="D45" s="71"/>
      <c r="E45" s="71"/>
      <c r="F45" s="71"/>
    </row>
    <row r="46" spans="1:10" ht="13.95" customHeight="1" x14ac:dyDescent="0.25">
      <c r="A46" s="5" t="s">
        <v>90</v>
      </c>
      <c r="B46" s="11"/>
      <c r="C46" s="11"/>
    </row>
    <row r="47" spans="1:10" ht="13.95" customHeight="1" x14ac:dyDescent="0.25">
      <c r="A47" s="5" t="s">
        <v>136</v>
      </c>
      <c r="F47" s="18" t="s">
        <v>140</v>
      </c>
      <c r="G47" s="18"/>
      <c r="H47" s="18"/>
      <c r="I47" s="18"/>
    </row>
    <row r="48" spans="1:10" ht="12" customHeight="1" x14ac:dyDescent="0.25">
      <c r="A48" s="18" t="s">
        <v>141</v>
      </c>
      <c r="B48" s="18"/>
      <c r="C48" s="18"/>
      <c r="D48" s="18"/>
      <c r="E48" s="18"/>
      <c r="F48" s="18"/>
      <c r="G48" s="18"/>
      <c r="H48" s="18"/>
    </row>
    <row r="49" spans="1:10" ht="13.95" customHeight="1" x14ac:dyDescent="0.25">
      <c r="A49" s="5" t="s">
        <v>137</v>
      </c>
      <c r="B49" s="44"/>
      <c r="C49" s="42" t="str">
        <f>"  " &amp; Schedule!B39&amp;"                            "&amp;Schedule!B38&amp;"                                                    "</f>
        <v xml:space="preserve">  мол. лейтенант                            Командир М. І.                                                    </v>
      </c>
      <c r="D49" s="6"/>
    </row>
    <row r="50" spans="1:10" ht="13.95" customHeight="1" x14ac:dyDescent="0.25">
      <c r="B50" s="77" t="s">
        <v>73</v>
      </c>
      <c r="C50" s="77"/>
      <c r="D50" s="77"/>
      <c r="E50" s="77"/>
      <c r="F50" s="77"/>
      <c r="G50" s="77"/>
    </row>
    <row r="51" spans="1:10" ht="9" customHeight="1" x14ac:dyDescent="0.25"/>
    <row r="52" spans="1:10" ht="13.95" customHeight="1" x14ac:dyDescent="0.25">
      <c r="A52" s="5" t="s">
        <v>91</v>
      </c>
      <c r="F52" s="5" t="s">
        <v>92</v>
      </c>
    </row>
    <row r="53" spans="1:10" x14ac:dyDescent="0.25">
      <c r="A53" s="5" t="s">
        <v>93</v>
      </c>
      <c r="F53" s="5" t="s">
        <v>94</v>
      </c>
    </row>
    <row r="54" spans="1:10" ht="10.95" customHeight="1" x14ac:dyDescent="0.3">
      <c r="A54" s="5" t="s">
        <v>95</v>
      </c>
      <c r="F54" s="5" t="str">
        <f>"  "&amp;Schedule!B39&amp;"                                 "&amp;Schedule!B38</f>
        <v xml:space="preserve">  мол. лейтенант                                 Командир М. І.</v>
      </c>
      <c r="J54" s="37"/>
    </row>
    <row r="55" spans="1:10" x14ac:dyDescent="0.25">
      <c r="A55" s="38" t="s">
        <v>76</v>
      </c>
      <c r="F55" s="36"/>
      <c r="G55" s="48" t="s">
        <v>73</v>
      </c>
      <c r="H55" s="36"/>
      <c r="I55" s="36"/>
    </row>
    <row r="56" spans="1:10" x14ac:dyDescent="0.25">
      <c r="A56" s="42" t="str">
        <f>"«  "&amp;$A$1&amp;"  »   "&amp;Schedule!C37&amp;"          "&amp;Schedule!B36&amp;" р."</f>
        <v>«  22  »   квітня          2022 р.</v>
      </c>
      <c r="G56" s="42" t="str">
        <f>"«  "&amp;$A$1&amp;"  »   "&amp;Schedule!C37&amp;"          "&amp;Schedule!B36&amp;" р."</f>
        <v>«  22  »   квітня          2022 р.</v>
      </c>
    </row>
    <row r="57" spans="1:10" x14ac:dyDescent="0.25"/>
  </sheetData>
  <mergeCells count="33">
    <mergeCell ref="B45:F45"/>
    <mergeCell ref="B50:G50"/>
    <mergeCell ref="B42:C42"/>
    <mergeCell ref="D42:E42"/>
    <mergeCell ref="F42:G42"/>
    <mergeCell ref="H42:I42"/>
    <mergeCell ref="B43:C43"/>
    <mergeCell ref="D43:E43"/>
    <mergeCell ref="F43:G43"/>
    <mergeCell ref="H43:I43"/>
    <mergeCell ref="B40:C40"/>
    <mergeCell ref="D40:E40"/>
    <mergeCell ref="F40:G40"/>
    <mergeCell ref="H40:I40"/>
    <mergeCell ref="B41:C41"/>
    <mergeCell ref="D41:E41"/>
    <mergeCell ref="F41:G41"/>
    <mergeCell ref="H41:I41"/>
    <mergeCell ref="C34:D34"/>
    <mergeCell ref="D35:H35"/>
    <mergeCell ref="D36:G36"/>
    <mergeCell ref="A38:A39"/>
    <mergeCell ref="B38:C39"/>
    <mergeCell ref="D38:I38"/>
    <mergeCell ref="D39:E39"/>
    <mergeCell ref="F39:G39"/>
    <mergeCell ref="H39:I39"/>
    <mergeCell ref="F34:G34"/>
    <mergeCell ref="B8:E8"/>
    <mergeCell ref="F8:G8"/>
    <mergeCell ref="B9:E9"/>
    <mergeCell ref="A11:H12"/>
    <mergeCell ref="A13:H13"/>
  </mergeCells>
  <pageMargins left="0.82677165354330717" right="0.23622047244094491" top="0.74803149606299213" bottom="0.74803149606299213" header="0.31496062992125984" footer="0.31496062992125984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DECD6-2203-4AB7-A4A3-36749444C82C}">
  <sheetPr codeName="Sheet10">
    <pageSetUpPr fitToPage="1"/>
  </sheetPr>
  <dimension ref="A1:AC45"/>
  <sheetViews>
    <sheetView topLeftCell="A4" zoomScale="110" zoomScaleNormal="110" workbookViewId="0">
      <selection activeCell="B29" sqref="B29:AC30"/>
    </sheetView>
  </sheetViews>
  <sheetFormatPr defaultColWidth="0" defaultRowHeight="13.2" zeroHeight="1" x14ac:dyDescent="0.25"/>
  <cols>
    <col min="1" max="1" width="18.6640625" style="5" customWidth="1"/>
    <col min="2" max="4" width="3.109375" style="5" customWidth="1"/>
    <col min="5" max="5" width="4.44140625" style="5" customWidth="1"/>
    <col min="6" max="6" width="4.21875" style="5" customWidth="1"/>
    <col min="7" max="7" width="4.44140625" style="5" customWidth="1"/>
    <col min="8" max="11" width="4.21875" style="5" customWidth="1"/>
    <col min="12" max="18" width="4.44140625" style="5" customWidth="1"/>
    <col min="19" max="22" width="4.21875" style="5" customWidth="1"/>
    <col min="23" max="25" width="3.33203125" style="5" customWidth="1"/>
    <col min="26" max="29" width="4.77734375" style="5" customWidth="1"/>
    <col min="30" max="16384" width="12" style="5" hidden="1"/>
  </cols>
  <sheetData>
    <row r="1" spans="1:29" ht="6.6" customHeight="1" x14ac:dyDescent="0.25">
      <c r="A1" s="5">
        <v>22</v>
      </c>
    </row>
    <row r="2" spans="1:29" s="63" customFormat="1" ht="13.05" customHeight="1" x14ac:dyDescent="0.25">
      <c r="A2" s="63" t="s">
        <v>44</v>
      </c>
    </row>
    <row r="3" spans="1:29" s="63" customFormat="1" ht="13.05" customHeight="1" x14ac:dyDescent="0.25">
      <c r="A3" s="63" t="e" cm="1">
        <f t="array" aca="1" ref="A3" ca="1">"до постової відомості з "&amp;DateCurrent() &amp; " на " &amp;DateNext()&amp; "  " &amp; Schedule!B36 &amp; " року"</f>
        <v>#VALUE!</v>
      </c>
    </row>
    <row r="4" spans="1:29" s="78" customFormat="1" ht="13.05" customHeight="1" x14ac:dyDescent="0.25">
      <c r="A4" s="63" t="s">
        <v>45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</row>
    <row r="5" spans="1:29" ht="26.4" x14ac:dyDescent="0.25">
      <c r="A5" s="39" t="s">
        <v>46</v>
      </c>
      <c r="B5" s="62" t="s">
        <v>47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</row>
    <row r="6" spans="1:29" ht="10.95" customHeight="1" x14ac:dyDescent="0.25">
      <c r="A6" s="60" t="e" cm="1">
        <f t="array" aca="1" ref="A6" ca="1">GetGuardRank(1,1) &amp; " " &amp; GetGuardName(1,1)</f>
        <v>#VALUE!</v>
      </c>
      <c r="B6" s="62" t="s">
        <v>48</v>
      </c>
      <c r="C6" s="62"/>
      <c r="D6" s="62"/>
      <c r="E6" s="79" t="s">
        <v>109</v>
      </c>
      <c r="F6" s="80"/>
      <c r="G6" s="80"/>
      <c r="H6" s="81"/>
      <c r="I6" s="62" t="s">
        <v>49</v>
      </c>
      <c r="J6" s="62"/>
      <c r="K6" s="62"/>
      <c r="L6" s="79" t="s">
        <v>110</v>
      </c>
      <c r="M6" s="80"/>
      <c r="N6" s="80"/>
      <c r="O6" s="81"/>
      <c r="P6" s="62" t="s">
        <v>50</v>
      </c>
      <c r="Q6" s="62"/>
      <c r="R6" s="62"/>
      <c r="S6" s="79" t="s">
        <v>121</v>
      </c>
      <c r="T6" s="80"/>
      <c r="U6" s="80"/>
      <c r="V6" s="81"/>
      <c r="W6" s="62" t="s">
        <v>51</v>
      </c>
      <c r="X6" s="62"/>
      <c r="Y6" s="62"/>
      <c r="Z6" s="79" t="s">
        <v>127</v>
      </c>
      <c r="AA6" s="80"/>
      <c r="AB6" s="80"/>
      <c r="AC6" s="81"/>
    </row>
    <row r="7" spans="1:29" ht="10.95" customHeight="1" x14ac:dyDescent="0.25">
      <c r="A7" s="60"/>
      <c r="B7" s="62"/>
      <c r="C7" s="62"/>
      <c r="D7" s="62"/>
      <c r="E7" s="79" t="s">
        <v>111</v>
      </c>
      <c r="F7" s="80"/>
      <c r="G7" s="80"/>
      <c r="H7" s="81"/>
      <c r="I7" s="62"/>
      <c r="J7" s="62"/>
      <c r="K7" s="62"/>
      <c r="L7" s="79" t="s">
        <v>116</v>
      </c>
      <c r="M7" s="80"/>
      <c r="N7" s="80"/>
      <c r="O7" s="81"/>
      <c r="P7" s="62"/>
      <c r="Q7" s="62"/>
      <c r="R7" s="62"/>
      <c r="S7" s="79" t="s">
        <v>122</v>
      </c>
      <c r="T7" s="80"/>
      <c r="U7" s="80"/>
      <c r="V7" s="81"/>
      <c r="W7" s="62"/>
      <c r="X7" s="62"/>
      <c r="Y7" s="62"/>
      <c r="Z7" s="79" t="s">
        <v>128</v>
      </c>
      <c r="AA7" s="80"/>
      <c r="AB7" s="80"/>
      <c r="AC7" s="81"/>
    </row>
    <row r="8" spans="1:29" ht="10.95" customHeight="1" x14ac:dyDescent="0.25">
      <c r="A8" s="82" t="e" cm="1">
        <f t="array" aca="1" ref="A8" ca="1">GetGuardRank(1,2) &amp; " " &amp; GetGuardName(1,2)</f>
        <v>#VALUE!</v>
      </c>
      <c r="B8" s="84" t="s">
        <v>52</v>
      </c>
      <c r="C8" s="85"/>
      <c r="D8" s="86"/>
      <c r="E8" s="79" t="s">
        <v>112</v>
      </c>
      <c r="F8" s="80"/>
      <c r="G8" s="80"/>
      <c r="H8" s="81"/>
      <c r="I8" s="84" t="s">
        <v>53</v>
      </c>
      <c r="J8" s="85"/>
      <c r="K8" s="86"/>
      <c r="L8" s="79" t="s">
        <v>117</v>
      </c>
      <c r="M8" s="80"/>
      <c r="N8" s="80"/>
      <c r="O8" s="81"/>
      <c r="P8" s="84" t="s">
        <v>54</v>
      </c>
      <c r="Q8" s="85"/>
      <c r="R8" s="86"/>
      <c r="S8" s="79" t="s">
        <v>123</v>
      </c>
      <c r="T8" s="80"/>
      <c r="U8" s="80"/>
      <c r="V8" s="81"/>
      <c r="W8" s="84" t="s">
        <v>55</v>
      </c>
      <c r="X8" s="85"/>
      <c r="Y8" s="86"/>
      <c r="Z8" s="79" t="s">
        <v>129</v>
      </c>
      <c r="AA8" s="80"/>
      <c r="AB8" s="80"/>
      <c r="AC8" s="81"/>
    </row>
    <row r="9" spans="1:29" ht="10.95" customHeight="1" x14ac:dyDescent="0.25">
      <c r="A9" s="83"/>
      <c r="B9" s="87"/>
      <c r="C9" s="88"/>
      <c r="D9" s="89"/>
      <c r="E9" s="79" t="s">
        <v>113</v>
      </c>
      <c r="F9" s="80"/>
      <c r="G9" s="80"/>
      <c r="H9" s="81"/>
      <c r="I9" s="87"/>
      <c r="J9" s="88"/>
      <c r="K9" s="89"/>
      <c r="L9" s="79" t="s">
        <v>118</v>
      </c>
      <c r="M9" s="80"/>
      <c r="N9" s="80"/>
      <c r="O9" s="81"/>
      <c r="P9" s="87"/>
      <c r="Q9" s="88"/>
      <c r="R9" s="89"/>
      <c r="S9" s="90" t="s">
        <v>124</v>
      </c>
      <c r="T9" s="91"/>
      <c r="U9" s="91"/>
      <c r="V9" s="92"/>
      <c r="W9" s="87"/>
      <c r="X9" s="88"/>
      <c r="Y9" s="89"/>
      <c r="Z9" s="79" t="s">
        <v>130</v>
      </c>
      <c r="AA9" s="80"/>
      <c r="AB9" s="80"/>
      <c r="AC9" s="81"/>
    </row>
    <row r="10" spans="1:29" ht="10.95" customHeight="1" x14ac:dyDescent="0.25">
      <c r="A10" s="82" t="e" cm="1">
        <f t="array" aca="1" ref="A10" ca="1">GetGuardRank(1,3) &amp; " " &amp; GetGuardName(1,3)</f>
        <v>#VALUE!</v>
      </c>
      <c r="B10" s="84" t="s">
        <v>150</v>
      </c>
      <c r="C10" s="85"/>
      <c r="D10" s="86"/>
      <c r="E10" s="79" t="s">
        <v>114</v>
      </c>
      <c r="F10" s="80"/>
      <c r="G10" s="80"/>
      <c r="H10" s="81"/>
      <c r="I10" s="84" t="s">
        <v>56</v>
      </c>
      <c r="J10" s="85"/>
      <c r="K10" s="86"/>
      <c r="L10" s="79" t="s">
        <v>119</v>
      </c>
      <c r="M10" s="80"/>
      <c r="N10" s="80"/>
      <c r="O10" s="81"/>
      <c r="P10" s="84" t="s">
        <v>57</v>
      </c>
      <c r="Q10" s="85"/>
      <c r="R10" s="86"/>
      <c r="S10" s="90" t="s">
        <v>125</v>
      </c>
      <c r="T10" s="91"/>
      <c r="U10" s="91"/>
      <c r="V10" s="92"/>
      <c r="W10" s="84" t="s">
        <v>58</v>
      </c>
      <c r="X10" s="85"/>
      <c r="Y10" s="86"/>
      <c r="Z10" s="79" t="s">
        <v>131</v>
      </c>
      <c r="AA10" s="80"/>
      <c r="AB10" s="80"/>
      <c r="AC10" s="81"/>
    </row>
    <row r="11" spans="1:29" ht="10.95" customHeight="1" thickBot="1" x14ac:dyDescent="0.3">
      <c r="A11" s="99"/>
      <c r="B11" s="93"/>
      <c r="C11" s="94"/>
      <c r="D11" s="95"/>
      <c r="E11" s="96" t="s">
        <v>115</v>
      </c>
      <c r="F11" s="97"/>
      <c r="G11" s="97"/>
      <c r="H11" s="98"/>
      <c r="I11" s="93"/>
      <c r="J11" s="94"/>
      <c r="K11" s="95"/>
      <c r="L11" s="96" t="s">
        <v>120</v>
      </c>
      <c r="M11" s="97"/>
      <c r="N11" s="97"/>
      <c r="O11" s="98"/>
      <c r="P11" s="93"/>
      <c r="Q11" s="94"/>
      <c r="R11" s="95"/>
      <c r="S11" s="96" t="s">
        <v>126</v>
      </c>
      <c r="T11" s="97"/>
      <c r="U11" s="97"/>
      <c r="V11" s="98"/>
      <c r="W11" s="93"/>
      <c r="X11" s="94"/>
      <c r="Y11" s="95"/>
      <c r="Z11" s="96" t="s">
        <v>132</v>
      </c>
      <c r="AA11" s="97"/>
      <c r="AB11" s="97"/>
      <c r="AC11" s="98"/>
    </row>
    <row r="12" spans="1:29" ht="10.95" customHeight="1" x14ac:dyDescent="0.25">
      <c r="A12" s="60" t="e" cm="1">
        <f t="array" aca="1" ref="A12" ca="1">GetGuardRank(2,1) &amp; " " &amp; GetGuardName(2,1)</f>
        <v>#VALUE!</v>
      </c>
      <c r="B12" s="103" t="s">
        <v>48</v>
      </c>
      <c r="C12" s="103"/>
      <c r="D12" s="103"/>
      <c r="E12" s="79" t="s">
        <v>109</v>
      </c>
      <c r="F12" s="80"/>
      <c r="G12" s="80"/>
      <c r="H12" s="81"/>
      <c r="I12" s="103" t="s">
        <v>49</v>
      </c>
      <c r="J12" s="103"/>
      <c r="K12" s="103"/>
      <c r="L12" s="79" t="s">
        <v>110</v>
      </c>
      <c r="M12" s="80"/>
      <c r="N12" s="80"/>
      <c r="O12" s="81"/>
      <c r="P12" s="62" t="s">
        <v>50</v>
      </c>
      <c r="Q12" s="62"/>
      <c r="R12" s="62"/>
      <c r="S12" s="100" t="s">
        <v>121</v>
      </c>
      <c r="T12" s="101"/>
      <c r="U12" s="101"/>
      <c r="V12" s="102"/>
      <c r="W12" s="62" t="s">
        <v>51</v>
      </c>
      <c r="X12" s="62"/>
      <c r="Y12" s="62"/>
      <c r="Z12" s="79" t="s">
        <v>127</v>
      </c>
      <c r="AA12" s="80"/>
      <c r="AB12" s="80"/>
      <c r="AC12" s="81"/>
    </row>
    <row r="13" spans="1:29" ht="10.95" customHeight="1" x14ac:dyDescent="0.25">
      <c r="A13" s="60"/>
      <c r="B13" s="62"/>
      <c r="C13" s="62"/>
      <c r="D13" s="62"/>
      <c r="E13" s="79" t="s">
        <v>111</v>
      </c>
      <c r="F13" s="80"/>
      <c r="G13" s="80"/>
      <c r="H13" s="81"/>
      <c r="I13" s="62"/>
      <c r="J13" s="62"/>
      <c r="K13" s="62"/>
      <c r="L13" s="79" t="s">
        <v>116</v>
      </c>
      <c r="M13" s="80"/>
      <c r="N13" s="80"/>
      <c r="O13" s="81"/>
      <c r="P13" s="62"/>
      <c r="Q13" s="62"/>
      <c r="R13" s="62"/>
      <c r="S13" s="90" t="s">
        <v>122</v>
      </c>
      <c r="T13" s="91"/>
      <c r="U13" s="91"/>
      <c r="V13" s="92"/>
      <c r="W13" s="62"/>
      <c r="X13" s="62"/>
      <c r="Y13" s="62"/>
      <c r="Z13" s="79" t="s">
        <v>128</v>
      </c>
      <c r="AA13" s="80"/>
      <c r="AB13" s="80"/>
      <c r="AC13" s="81"/>
    </row>
    <row r="14" spans="1:29" ht="10.95" customHeight="1" x14ac:dyDescent="0.25">
      <c r="A14" s="82" t="e" cm="1">
        <f t="array" aca="1" ref="A14" ca="1">GetGuardRank(2,2) &amp; " " &amp; GetGuardName(2,2)</f>
        <v>#VALUE!</v>
      </c>
      <c r="B14" s="84" t="s">
        <v>52</v>
      </c>
      <c r="C14" s="85"/>
      <c r="D14" s="86"/>
      <c r="E14" s="79" t="s">
        <v>112</v>
      </c>
      <c r="F14" s="80"/>
      <c r="G14" s="80"/>
      <c r="H14" s="81"/>
      <c r="I14" s="62" t="s">
        <v>53</v>
      </c>
      <c r="J14" s="62"/>
      <c r="K14" s="62"/>
      <c r="L14" s="79" t="s">
        <v>117</v>
      </c>
      <c r="M14" s="80"/>
      <c r="N14" s="80"/>
      <c r="O14" s="81"/>
      <c r="P14" s="84" t="s">
        <v>54</v>
      </c>
      <c r="Q14" s="85"/>
      <c r="R14" s="86"/>
      <c r="S14" s="90" t="s">
        <v>123</v>
      </c>
      <c r="T14" s="91"/>
      <c r="U14" s="91"/>
      <c r="V14" s="92"/>
      <c r="W14" s="84" t="s">
        <v>55</v>
      </c>
      <c r="X14" s="85"/>
      <c r="Y14" s="86"/>
      <c r="Z14" s="79" t="s">
        <v>129</v>
      </c>
      <c r="AA14" s="80"/>
      <c r="AB14" s="80"/>
      <c r="AC14" s="81"/>
    </row>
    <row r="15" spans="1:29" ht="10.95" customHeight="1" x14ac:dyDescent="0.25">
      <c r="A15" s="83"/>
      <c r="B15" s="87"/>
      <c r="C15" s="88"/>
      <c r="D15" s="89"/>
      <c r="E15" s="79" t="s">
        <v>113</v>
      </c>
      <c r="F15" s="80"/>
      <c r="G15" s="80"/>
      <c r="H15" s="81"/>
      <c r="I15" s="62"/>
      <c r="J15" s="62"/>
      <c r="K15" s="62"/>
      <c r="L15" s="79" t="s">
        <v>118</v>
      </c>
      <c r="M15" s="80"/>
      <c r="N15" s="80"/>
      <c r="O15" s="81"/>
      <c r="P15" s="87"/>
      <c r="Q15" s="88"/>
      <c r="R15" s="89"/>
      <c r="S15" s="79" t="s">
        <v>124</v>
      </c>
      <c r="T15" s="80"/>
      <c r="U15" s="80"/>
      <c r="V15" s="81"/>
      <c r="W15" s="87"/>
      <c r="X15" s="88"/>
      <c r="Y15" s="89"/>
      <c r="Z15" s="79" t="s">
        <v>130</v>
      </c>
      <c r="AA15" s="80"/>
      <c r="AB15" s="80"/>
      <c r="AC15" s="81"/>
    </row>
    <row r="16" spans="1:29" ht="10.95" customHeight="1" x14ac:dyDescent="0.25">
      <c r="A16" s="82" t="e" cm="1">
        <f t="array" aca="1" ref="A16" ca="1">GetGuardRank(2,3) &amp; " " &amp; GetGuardName(2,3)</f>
        <v>#VALUE!</v>
      </c>
      <c r="B16" s="84" t="s">
        <v>150</v>
      </c>
      <c r="C16" s="85"/>
      <c r="D16" s="86"/>
      <c r="E16" s="79" t="s">
        <v>114</v>
      </c>
      <c r="F16" s="80"/>
      <c r="G16" s="80"/>
      <c r="H16" s="81"/>
      <c r="I16" s="62" t="s">
        <v>56</v>
      </c>
      <c r="J16" s="62"/>
      <c r="K16" s="62"/>
      <c r="L16" s="79" t="s">
        <v>119</v>
      </c>
      <c r="M16" s="80"/>
      <c r="N16" s="80"/>
      <c r="O16" s="81"/>
      <c r="P16" s="62" t="s">
        <v>57</v>
      </c>
      <c r="Q16" s="62"/>
      <c r="R16" s="62"/>
      <c r="S16" s="79" t="s">
        <v>125</v>
      </c>
      <c r="T16" s="80"/>
      <c r="U16" s="80"/>
      <c r="V16" s="81"/>
      <c r="W16" s="62" t="s">
        <v>58</v>
      </c>
      <c r="X16" s="62"/>
      <c r="Y16" s="62"/>
      <c r="Z16" s="79" t="s">
        <v>131</v>
      </c>
      <c r="AA16" s="80"/>
      <c r="AB16" s="80"/>
      <c r="AC16" s="81"/>
    </row>
    <row r="17" spans="1:29" ht="10.95" customHeight="1" thickBot="1" x14ac:dyDescent="0.3">
      <c r="A17" s="99"/>
      <c r="B17" s="87"/>
      <c r="C17" s="88"/>
      <c r="D17" s="89"/>
      <c r="E17" s="96" t="s">
        <v>115</v>
      </c>
      <c r="F17" s="97"/>
      <c r="G17" s="97"/>
      <c r="H17" s="98"/>
      <c r="I17" s="62"/>
      <c r="J17" s="62"/>
      <c r="K17" s="62"/>
      <c r="L17" s="96" t="s">
        <v>120</v>
      </c>
      <c r="M17" s="97"/>
      <c r="N17" s="97"/>
      <c r="O17" s="98"/>
      <c r="P17" s="62"/>
      <c r="Q17" s="62"/>
      <c r="R17" s="62"/>
      <c r="S17" s="96" t="s">
        <v>126</v>
      </c>
      <c r="T17" s="97"/>
      <c r="U17" s="97"/>
      <c r="V17" s="98"/>
      <c r="W17" s="62"/>
      <c r="X17" s="62"/>
      <c r="Y17" s="62"/>
      <c r="Z17" s="96" t="s">
        <v>132</v>
      </c>
      <c r="AA17" s="97"/>
      <c r="AB17" s="97"/>
      <c r="AC17" s="98"/>
    </row>
    <row r="18" spans="1:29" ht="10.95" customHeight="1" x14ac:dyDescent="0.25">
      <c r="A18" s="60" t="e" cm="1">
        <f t="array" aca="1" ref="A18" ca="1">GetGuardRank(3,1) &amp; " " &amp; GetGuardName(3,1)</f>
        <v>#VALUE!</v>
      </c>
      <c r="B18" s="103" t="s">
        <v>48</v>
      </c>
      <c r="C18" s="103"/>
      <c r="D18" s="103"/>
      <c r="E18" s="79" t="s">
        <v>109</v>
      </c>
      <c r="F18" s="80"/>
      <c r="G18" s="80"/>
      <c r="H18" s="81"/>
      <c r="I18" s="103" t="s">
        <v>49</v>
      </c>
      <c r="J18" s="103"/>
      <c r="K18" s="103"/>
      <c r="L18" s="79" t="s">
        <v>110</v>
      </c>
      <c r="M18" s="80"/>
      <c r="N18" s="80"/>
      <c r="O18" s="81"/>
      <c r="P18" s="62" t="s">
        <v>50</v>
      </c>
      <c r="Q18" s="62"/>
      <c r="R18" s="62"/>
      <c r="S18" s="100" t="s">
        <v>121</v>
      </c>
      <c r="T18" s="101"/>
      <c r="U18" s="101"/>
      <c r="V18" s="102"/>
      <c r="W18" s="62" t="s">
        <v>51</v>
      </c>
      <c r="X18" s="62"/>
      <c r="Y18" s="62"/>
      <c r="Z18" s="79" t="s">
        <v>127</v>
      </c>
      <c r="AA18" s="80"/>
      <c r="AB18" s="80"/>
      <c r="AC18" s="81"/>
    </row>
    <row r="19" spans="1:29" ht="10.95" customHeight="1" x14ac:dyDescent="0.25">
      <c r="A19" s="60"/>
      <c r="B19" s="62"/>
      <c r="C19" s="62"/>
      <c r="D19" s="62"/>
      <c r="E19" s="79" t="s">
        <v>111</v>
      </c>
      <c r="F19" s="80"/>
      <c r="G19" s="80"/>
      <c r="H19" s="81"/>
      <c r="I19" s="62"/>
      <c r="J19" s="62"/>
      <c r="K19" s="62"/>
      <c r="L19" s="79" t="s">
        <v>116</v>
      </c>
      <c r="M19" s="80"/>
      <c r="N19" s="80"/>
      <c r="O19" s="81"/>
      <c r="P19" s="62"/>
      <c r="Q19" s="62"/>
      <c r="R19" s="62"/>
      <c r="S19" s="90" t="s">
        <v>122</v>
      </c>
      <c r="T19" s="91"/>
      <c r="U19" s="91"/>
      <c r="V19" s="92"/>
      <c r="W19" s="62"/>
      <c r="X19" s="62"/>
      <c r="Y19" s="62"/>
      <c r="Z19" s="79" t="s">
        <v>128</v>
      </c>
      <c r="AA19" s="80"/>
      <c r="AB19" s="80"/>
      <c r="AC19" s="81"/>
    </row>
    <row r="20" spans="1:29" ht="10.95" customHeight="1" x14ac:dyDescent="0.25">
      <c r="A20" s="82" t="e" cm="1">
        <f t="array" aca="1" ref="A20" ca="1">GetGuardRank(3,2) &amp; " " &amp; GetGuardName(3,2)</f>
        <v>#VALUE!</v>
      </c>
      <c r="B20" s="84" t="s">
        <v>52</v>
      </c>
      <c r="C20" s="85"/>
      <c r="D20" s="86"/>
      <c r="E20" s="79" t="s">
        <v>112</v>
      </c>
      <c r="F20" s="80"/>
      <c r="G20" s="80"/>
      <c r="H20" s="81"/>
      <c r="I20" s="62" t="s">
        <v>53</v>
      </c>
      <c r="J20" s="62"/>
      <c r="K20" s="62"/>
      <c r="L20" s="79" t="s">
        <v>117</v>
      </c>
      <c r="M20" s="80"/>
      <c r="N20" s="80"/>
      <c r="O20" s="81"/>
      <c r="P20" s="84" t="s">
        <v>54</v>
      </c>
      <c r="Q20" s="85"/>
      <c r="R20" s="86"/>
      <c r="S20" s="90" t="s">
        <v>123</v>
      </c>
      <c r="T20" s="91"/>
      <c r="U20" s="91"/>
      <c r="V20" s="92"/>
      <c r="W20" s="84" t="s">
        <v>55</v>
      </c>
      <c r="X20" s="85"/>
      <c r="Y20" s="86"/>
      <c r="Z20" s="79" t="s">
        <v>129</v>
      </c>
      <c r="AA20" s="80"/>
      <c r="AB20" s="80"/>
      <c r="AC20" s="81"/>
    </row>
    <row r="21" spans="1:29" ht="10.95" customHeight="1" x14ac:dyDescent="0.25">
      <c r="A21" s="83"/>
      <c r="B21" s="87"/>
      <c r="C21" s="88"/>
      <c r="D21" s="89"/>
      <c r="E21" s="79" t="s">
        <v>113</v>
      </c>
      <c r="F21" s="80"/>
      <c r="G21" s="80"/>
      <c r="H21" s="81"/>
      <c r="I21" s="62"/>
      <c r="J21" s="62"/>
      <c r="K21" s="62"/>
      <c r="L21" s="79" t="s">
        <v>118</v>
      </c>
      <c r="M21" s="80"/>
      <c r="N21" s="80"/>
      <c r="O21" s="81"/>
      <c r="P21" s="87"/>
      <c r="Q21" s="88"/>
      <c r="R21" s="89"/>
      <c r="S21" s="79" t="s">
        <v>124</v>
      </c>
      <c r="T21" s="80"/>
      <c r="U21" s="80"/>
      <c r="V21" s="81"/>
      <c r="W21" s="87"/>
      <c r="X21" s="88"/>
      <c r="Y21" s="89"/>
      <c r="Z21" s="79" t="s">
        <v>130</v>
      </c>
      <c r="AA21" s="80"/>
      <c r="AB21" s="80"/>
      <c r="AC21" s="81"/>
    </row>
    <row r="22" spans="1:29" ht="10.95" customHeight="1" x14ac:dyDescent="0.25">
      <c r="A22" s="82" t="e" cm="1">
        <f t="array" aca="1" ref="A22" ca="1">GetGuardRank(3,3) &amp; " " &amp; GetGuardName(3,3)</f>
        <v>#VALUE!</v>
      </c>
      <c r="B22" s="84" t="s">
        <v>150</v>
      </c>
      <c r="C22" s="85"/>
      <c r="D22" s="86"/>
      <c r="E22" s="79" t="s">
        <v>114</v>
      </c>
      <c r="F22" s="80"/>
      <c r="G22" s="80"/>
      <c r="H22" s="81"/>
      <c r="I22" s="62" t="s">
        <v>56</v>
      </c>
      <c r="J22" s="62"/>
      <c r="K22" s="62"/>
      <c r="L22" s="79" t="s">
        <v>119</v>
      </c>
      <c r="M22" s="80"/>
      <c r="N22" s="80"/>
      <c r="O22" s="81"/>
      <c r="P22" s="62" t="s">
        <v>57</v>
      </c>
      <c r="Q22" s="62"/>
      <c r="R22" s="62"/>
      <c r="S22" s="79" t="s">
        <v>125</v>
      </c>
      <c r="T22" s="80"/>
      <c r="U22" s="80"/>
      <c r="V22" s="81"/>
      <c r="W22" s="62" t="s">
        <v>58</v>
      </c>
      <c r="X22" s="62"/>
      <c r="Y22" s="62"/>
      <c r="Z22" s="79" t="s">
        <v>131</v>
      </c>
      <c r="AA22" s="80"/>
      <c r="AB22" s="80"/>
      <c r="AC22" s="81"/>
    </row>
    <row r="23" spans="1:29" ht="10.95" customHeight="1" thickBot="1" x14ac:dyDescent="0.3">
      <c r="A23" s="99"/>
      <c r="B23" s="87"/>
      <c r="C23" s="88"/>
      <c r="D23" s="89"/>
      <c r="E23" s="96" t="s">
        <v>115</v>
      </c>
      <c r="F23" s="97"/>
      <c r="G23" s="97"/>
      <c r="H23" s="98"/>
      <c r="I23" s="62"/>
      <c r="J23" s="62"/>
      <c r="K23" s="62"/>
      <c r="L23" s="96" t="s">
        <v>120</v>
      </c>
      <c r="M23" s="97"/>
      <c r="N23" s="97"/>
      <c r="O23" s="98"/>
      <c r="P23" s="62"/>
      <c r="Q23" s="62"/>
      <c r="R23" s="62"/>
      <c r="S23" s="96" t="s">
        <v>126</v>
      </c>
      <c r="T23" s="97"/>
      <c r="U23" s="97"/>
      <c r="V23" s="98"/>
      <c r="W23" s="62"/>
      <c r="X23" s="62"/>
      <c r="Y23" s="62"/>
      <c r="Z23" s="96" t="s">
        <v>132</v>
      </c>
      <c r="AA23" s="97"/>
      <c r="AB23" s="97"/>
      <c r="AC23" s="98"/>
    </row>
    <row r="24" spans="1:29" ht="12" customHeight="1" x14ac:dyDescent="0.25"/>
    <row r="25" spans="1:29" x14ac:dyDescent="0.25">
      <c r="G25" s="5" t="s">
        <v>12</v>
      </c>
      <c r="K25" s="5" t="str" cm="1">
        <f t="array" aca="1" ref="K25" ca="1">"     " &amp; GetHeadRank() &amp; "                          " &amp; GetHeadName()</f>
        <v xml:space="preserve">                               </v>
      </c>
    </row>
    <row r="26" spans="1:29" x14ac:dyDescent="0.25">
      <c r="K26" s="36"/>
      <c r="L26" s="45" t="s">
        <v>8</v>
      </c>
      <c r="M26" s="36"/>
      <c r="N26" s="36"/>
      <c r="O26" s="36"/>
      <c r="P26" s="36"/>
      <c r="Q26" s="36"/>
      <c r="R26" s="36"/>
      <c r="S26" s="36"/>
      <c r="T26" s="36"/>
      <c r="U26" s="36"/>
    </row>
    <row r="27" spans="1:29" ht="6" customHeight="1" x14ac:dyDescent="0.25"/>
    <row r="28" spans="1:29" s="63" customFormat="1" ht="13.95" customHeight="1" x14ac:dyDescent="0.25">
      <c r="A28" s="63" t="str">
        <f>"Облік подання доповідей черговому військової частини " &amp; Schedule!B41</f>
        <v>Облік подання доповідей черговому військової частини Т01234</v>
      </c>
    </row>
    <row r="29" spans="1:29" x14ac:dyDescent="0.25">
      <c r="A29" s="8" t="s">
        <v>59</v>
      </c>
      <c r="B29" s="104" t="s">
        <v>149</v>
      </c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G30" s="5" t="s">
        <v>12</v>
      </c>
      <c r="K30" s="5" t="str" cm="1">
        <f t="array" aca="1" ref="K30" ca="1">"     " &amp; GetHeadRank() &amp; "                          " &amp; GetHeadName()</f>
        <v xml:space="preserve">                               </v>
      </c>
    </row>
    <row r="31" spans="1:29" x14ac:dyDescent="0.25">
      <c r="K31" s="36"/>
      <c r="L31" s="45" t="s">
        <v>8</v>
      </c>
      <c r="M31" s="36"/>
      <c r="N31" s="36"/>
      <c r="O31" s="36"/>
      <c r="P31" s="36"/>
      <c r="Q31" s="36"/>
      <c r="R31" s="36"/>
      <c r="S31" s="36"/>
      <c r="T31" s="36"/>
      <c r="U31" s="36"/>
    </row>
    <row r="32" spans="1:29" ht="6.6" customHeight="1" x14ac:dyDescent="0.25"/>
    <row r="33" spans="1:29" s="63" customFormat="1" ht="13.95" customHeight="1" x14ac:dyDescent="0.25">
      <c r="A33" s="63" t="s">
        <v>60</v>
      </c>
    </row>
    <row r="34" spans="1:29" ht="37.049999999999997" customHeight="1" x14ac:dyDescent="0.25">
      <c r="A34" s="105" t="s">
        <v>61</v>
      </c>
      <c r="B34" s="107" t="s">
        <v>62</v>
      </c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68" t="s">
        <v>63</v>
      </c>
      <c r="X34" s="68"/>
      <c r="Y34" s="68"/>
      <c r="Z34" s="68"/>
      <c r="AA34" s="68"/>
      <c r="AB34" s="68"/>
      <c r="AC34" s="68"/>
    </row>
    <row r="35" spans="1:29" x14ac:dyDescent="0.25">
      <c r="A35" s="106"/>
      <c r="B35" s="8">
        <v>97</v>
      </c>
      <c r="C35" s="8">
        <v>98</v>
      </c>
      <c r="D35" s="8">
        <v>99</v>
      </c>
      <c r="E35" s="8">
        <v>100</v>
      </c>
      <c r="F35" s="8">
        <v>101</v>
      </c>
      <c r="G35" s="8">
        <v>102</v>
      </c>
      <c r="H35" s="8">
        <v>107</v>
      </c>
      <c r="I35" s="8">
        <v>108</v>
      </c>
      <c r="J35" s="8">
        <v>112</v>
      </c>
      <c r="K35" s="8">
        <v>169</v>
      </c>
      <c r="L35" s="8">
        <v>195</v>
      </c>
      <c r="M35" s="8">
        <v>196</v>
      </c>
      <c r="N35" s="8">
        <v>197</v>
      </c>
      <c r="O35" s="8">
        <v>198</v>
      </c>
      <c r="P35" s="8">
        <v>230</v>
      </c>
      <c r="Q35" s="8">
        <v>231</v>
      </c>
      <c r="R35" s="8">
        <v>232</v>
      </c>
      <c r="S35" s="8">
        <v>233</v>
      </c>
      <c r="T35" s="8">
        <v>234</v>
      </c>
      <c r="U35" s="8">
        <v>235</v>
      </c>
      <c r="V35" s="8">
        <v>236</v>
      </c>
      <c r="W35" s="68"/>
      <c r="X35" s="68"/>
      <c r="Y35" s="68"/>
      <c r="Z35" s="68"/>
      <c r="AA35" s="68"/>
      <c r="AB35" s="68"/>
      <c r="AC35" s="68"/>
    </row>
    <row r="36" spans="1:29" ht="10.95" customHeight="1" x14ac:dyDescent="0.25">
      <c r="A36" s="4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60"/>
      <c r="X36" s="60"/>
      <c r="Y36" s="60"/>
      <c r="Z36" s="60"/>
      <c r="AA36" s="60"/>
      <c r="AB36" s="60"/>
      <c r="AC36" s="60"/>
    </row>
    <row r="37" spans="1:29" ht="10.95" customHeight="1" x14ac:dyDescent="0.25">
      <c r="A37" s="4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60"/>
      <c r="X37" s="60"/>
      <c r="Y37" s="60"/>
      <c r="Z37" s="60"/>
      <c r="AA37" s="60"/>
      <c r="AB37" s="60"/>
      <c r="AC37" s="60"/>
    </row>
    <row r="38" spans="1:29" ht="10.95" customHeight="1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60"/>
      <c r="X38" s="60"/>
      <c r="Y38" s="60"/>
      <c r="Z38" s="60"/>
      <c r="AA38" s="60"/>
      <c r="AB38" s="60"/>
      <c r="AC38" s="60"/>
    </row>
    <row r="39" spans="1:29" ht="10.95" customHeight="1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60"/>
      <c r="X39" s="60"/>
      <c r="Y39" s="60"/>
      <c r="Z39" s="60"/>
      <c r="AA39" s="60"/>
      <c r="AB39" s="60"/>
      <c r="AC39" s="60"/>
    </row>
    <row r="40" spans="1:29" ht="10.95" customHeight="1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60"/>
      <c r="X40" s="60"/>
      <c r="Y40" s="60"/>
      <c r="Z40" s="60"/>
      <c r="AA40" s="60"/>
      <c r="AB40" s="60"/>
      <c r="AC40" s="60"/>
    </row>
    <row r="41" spans="1:29" ht="10.95" customHeight="1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60"/>
      <c r="X41" s="60"/>
      <c r="Y41" s="60"/>
      <c r="Z41" s="60"/>
      <c r="AA41" s="60"/>
      <c r="AB41" s="60"/>
      <c r="AC41" s="60"/>
    </row>
    <row r="42" spans="1:29" ht="10.95" customHeight="1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60"/>
      <c r="X42" s="60"/>
      <c r="Y42" s="60"/>
      <c r="Z42" s="60"/>
      <c r="AA42" s="60"/>
      <c r="AB42" s="60"/>
      <c r="AC42" s="60"/>
    </row>
    <row r="43" spans="1:29" x14ac:dyDescent="0.25">
      <c r="G43" s="5" t="s">
        <v>12</v>
      </c>
    </row>
    <row r="44" spans="1:29" x14ac:dyDescent="0.25">
      <c r="K44" s="36"/>
      <c r="L44" s="45" t="s">
        <v>8</v>
      </c>
      <c r="M44" s="36"/>
      <c r="N44" s="36"/>
      <c r="O44" s="36"/>
      <c r="P44" s="36"/>
      <c r="Q44" s="36"/>
      <c r="R44" s="36"/>
      <c r="S44" s="36"/>
      <c r="T44" s="36"/>
      <c r="U44" s="36"/>
    </row>
    <row r="45" spans="1:29" x14ac:dyDescent="0.25"/>
  </sheetData>
  <mergeCells count="134">
    <mergeCell ref="P22:R23"/>
    <mergeCell ref="S22:V22"/>
    <mergeCell ref="W22:Y23"/>
    <mergeCell ref="Z22:AC22"/>
    <mergeCell ref="E23:H23"/>
    <mergeCell ref="L23:O23"/>
    <mergeCell ref="S23:V23"/>
    <mergeCell ref="Z23:AC23"/>
    <mergeCell ref="A22:A23"/>
    <mergeCell ref="B22:D23"/>
    <mergeCell ref="E22:H22"/>
    <mergeCell ref="I22:K23"/>
    <mergeCell ref="L22:O22"/>
    <mergeCell ref="P20:R21"/>
    <mergeCell ref="S20:V20"/>
    <mergeCell ref="W20:Y21"/>
    <mergeCell ref="Z20:AC20"/>
    <mergeCell ref="E21:H21"/>
    <mergeCell ref="L21:O21"/>
    <mergeCell ref="S21:V21"/>
    <mergeCell ref="Z21:AC21"/>
    <mergeCell ref="A20:A21"/>
    <mergeCell ref="B20:D21"/>
    <mergeCell ref="E20:H20"/>
    <mergeCell ref="I20:K21"/>
    <mergeCell ref="L20:O20"/>
    <mergeCell ref="P18:R19"/>
    <mergeCell ref="S18:V18"/>
    <mergeCell ref="W18:Y19"/>
    <mergeCell ref="Z18:AC18"/>
    <mergeCell ref="E19:H19"/>
    <mergeCell ref="L19:O19"/>
    <mergeCell ref="S19:V19"/>
    <mergeCell ref="Z19:AC19"/>
    <mergeCell ref="A18:A19"/>
    <mergeCell ref="B18:D19"/>
    <mergeCell ref="E18:H18"/>
    <mergeCell ref="I18:K19"/>
    <mergeCell ref="L18:O18"/>
    <mergeCell ref="W42:AC42"/>
    <mergeCell ref="W36:AC36"/>
    <mergeCell ref="W37:AC37"/>
    <mergeCell ref="W38:AC38"/>
    <mergeCell ref="W39:AC39"/>
    <mergeCell ref="W40:AC40"/>
    <mergeCell ref="W41:AC41"/>
    <mergeCell ref="A28:XFD28"/>
    <mergeCell ref="B29:AC29"/>
    <mergeCell ref="A33:XFD33"/>
    <mergeCell ref="A34:A35"/>
    <mergeCell ref="B34:V34"/>
    <mergeCell ref="W34:AC35"/>
    <mergeCell ref="S16:V16"/>
    <mergeCell ref="W16:Y17"/>
    <mergeCell ref="Z16:AC16"/>
    <mergeCell ref="E17:H17"/>
    <mergeCell ref="L17:O17"/>
    <mergeCell ref="S17:V17"/>
    <mergeCell ref="Z17:AC17"/>
    <mergeCell ref="P16:R17"/>
    <mergeCell ref="A16:A17"/>
    <mergeCell ref="B16:D17"/>
    <mergeCell ref="E16:H16"/>
    <mergeCell ref="I16:K17"/>
    <mergeCell ref="L16:O16"/>
    <mergeCell ref="S14:V14"/>
    <mergeCell ref="W14:Y15"/>
    <mergeCell ref="Z14:AC14"/>
    <mergeCell ref="E15:H15"/>
    <mergeCell ref="L15:O15"/>
    <mergeCell ref="S15:V15"/>
    <mergeCell ref="Z15:AC15"/>
    <mergeCell ref="P14:R15"/>
    <mergeCell ref="A14:A15"/>
    <mergeCell ref="B14:D15"/>
    <mergeCell ref="E14:H14"/>
    <mergeCell ref="I14:K15"/>
    <mergeCell ref="L14:O14"/>
    <mergeCell ref="S12:V12"/>
    <mergeCell ref="W12:Y13"/>
    <mergeCell ref="Z12:AC12"/>
    <mergeCell ref="E13:H13"/>
    <mergeCell ref="L13:O13"/>
    <mergeCell ref="S13:V13"/>
    <mergeCell ref="Z13:AC13"/>
    <mergeCell ref="P12:R13"/>
    <mergeCell ref="A12:A13"/>
    <mergeCell ref="B12:D13"/>
    <mergeCell ref="E12:H12"/>
    <mergeCell ref="I12:K13"/>
    <mergeCell ref="L12:O12"/>
    <mergeCell ref="S10:V10"/>
    <mergeCell ref="W10:Y11"/>
    <mergeCell ref="Z10:AC10"/>
    <mergeCell ref="E11:H11"/>
    <mergeCell ref="L11:O11"/>
    <mergeCell ref="S11:V11"/>
    <mergeCell ref="Z11:AC11"/>
    <mergeCell ref="P10:R11"/>
    <mergeCell ref="A10:A11"/>
    <mergeCell ref="B10:D11"/>
    <mergeCell ref="E10:H10"/>
    <mergeCell ref="I10:K11"/>
    <mergeCell ref="L10:O10"/>
    <mergeCell ref="A8:A9"/>
    <mergeCell ref="B8:D9"/>
    <mergeCell ref="E8:H8"/>
    <mergeCell ref="I8:K9"/>
    <mergeCell ref="L8:O8"/>
    <mergeCell ref="S8:V8"/>
    <mergeCell ref="W8:Y9"/>
    <mergeCell ref="Z8:AC8"/>
    <mergeCell ref="E9:H9"/>
    <mergeCell ref="L9:O9"/>
    <mergeCell ref="S9:V9"/>
    <mergeCell ref="Z9:AC9"/>
    <mergeCell ref="P8:R9"/>
    <mergeCell ref="A2:XFD2"/>
    <mergeCell ref="A3:XFD3"/>
    <mergeCell ref="A4:XFD4"/>
    <mergeCell ref="B5:AC5"/>
    <mergeCell ref="A6:A7"/>
    <mergeCell ref="B6:D7"/>
    <mergeCell ref="E6:H6"/>
    <mergeCell ref="I6:K7"/>
    <mergeCell ref="L6:O6"/>
    <mergeCell ref="P6:R7"/>
    <mergeCell ref="S6:V6"/>
    <mergeCell ref="W6:Y7"/>
    <mergeCell ref="Z6:AC6"/>
    <mergeCell ref="E7:H7"/>
    <mergeCell ref="L7:O7"/>
    <mergeCell ref="S7:V7"/>
    <mergeCell ref="Z7:AC7"/>
  </mergeCells>
  <pageMargins left="0.7" right="0.7" top="0.75" bottom="0.75" header="0.3" footer="0.3"/>
  <pageSetup paperSize="9" scale="97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C77BC-B769-44B5-A443-3FB3ED78CE07}">
  <sheetPr codeName="Sheet9">
    <pageSetUpPr fitToPage="1"/>
  </sheetPr>
  <dimension ref="A1:J56"/>
  <sheetViews>
    <sheetView view="pageBreakPreview" topLeftCell="A23" zoomScale="60" zoomScaleNormal="100" workbookViewId="0">
      <selection activeCell="B29" sqref="B29:AC30"/>
    </sheetView>
  </sheetViews>
  <sheetFormatPr defaultColWidth="0" defaultRowHeight="13.2" zeroHeight="1" x14ac:dyDescent="0.25"/>
  <cols>
    <col min="1" max="1" width="1.88671875" style="5" customWidth="1"/>
    <col min="2" max="2" width="14.21875" style="5" customWidth="1"/>
    <col min="3" max="3" width="1.88671875" style="5" customWidth="1"/>
    <col min="4" max="9" width="12" style="5" customWidth="1"/>
    <col min="10" max="10" width="0" style="5" hidden="1" customWidth="1"/>
    <col min="11" max="16384" width="12" style="5" hidden="1"/>
  </cols>
  <sheetData>
    <row r="1" spans="2:9" x14ac:dyDescent="0.25">
      <c r="B1" s="5" t="s">
        <v>104</v>
      </c>
    </row>
    <row r="2" spans="2:9" x14ac:dyDescent="0.25">
      <c r="B2" s="5" t="s">
        <v>105</v>
      </c>
    </row>
    <row r="3" spans="2:9" x14ac:dyDescent="0.25">
      <c r="B3" s="5" t="s">
        <v>106</v>
      </c>
    </row>
    <row r="4" spans="2:9" x14ac:dyDescent="0.25">
      <c r="B4" s="5" t="s">
        <v>107</v>
      </c>
    </row>
    <row r="5" spans="2:9" x14ac:dyDescent="0.25">
      <c r="B5" s="5" t="s">
        <v>108</v>
      </c>
    </row>
    <row r="6" spans="2:9" ht="22.95" customHeight="1" x14ac:dyDescent="0.25"/>
    <row r="7" spans="2:9" ht="19.95" customHeight="1" x14ac:dyDescent="0.25">
      <c r="B7" s="40"/>
      <c r="D7" s="67"/>
      <c r="E7" s="60"/>
      <c r="F7" s="60"/>
      <c r="G7" s="60"/>
      <c r="H7" s="60"/>
      <c r="I7" s="65"/>
    </row>
    <row r="8" spans="2:9" ht="19.95" customHeight="1" x14ac:dyDescent="0.25">
      <c r="B8" s="36"/>
      <c r="D8" s="67"/>
      <c r="E8" s="60"/>
      <c r="F8" s="60"/>
      <c r="G8" s="60"/>
      <c r="H8" s="60"/>
      <c r="I8" s="65"/>
    </row>
    <row r="9" spans="2:9" ht="19.95" customHeight="1" x14ac:dyDescent="0.25">
      <c r="D9" s="67"/>
      <c r="E9" s="60"/>
      <c r="F9" s="60"/>
      <c r="G9" s="60"/>
      <c r="H9" s="60"/>
      <c r="I9" s="65"/>
    </row>
    <row r="10" spans="2:9" ht="19.95" customHeight="1" x14ac:dyDescent="0.25">
      <c r="D10" s="109"/>
      <c r="E10" s="82"/>
      <c r="F10" s="82"/>
      <c r="G10" s="82"/>
      <c r="H10" s="82"/>
      <c r="I10" s="110"/>
    </row>
    <row r="11" spans="2:9" ht="19.95" customHeight="1" x14ac:dyDescent="0.25"/>
    <row r="12" spans="2:9" ht="19.95" customHeight="1" x14ac:dyDescent="0.25">
      <c r="B12" s="40"/>
      <c r="D12" s="67"/>
      <c r="E12" s="60"/>
      <c r="F12" s="60"/>
      <c r="G12" s="60"/>
      <c r="H12" s="60"/>
      <c r="I12" s="65"/>
    </row>
    <row r="13" spans="2:9" ht="19.95" customHeight="1" x14ac:dyDescent="0.25">
      <c r="B13" s="36"/>
      <c r="D13" s="67"/>
      <c r="E13" s="60"/>
      <c r="F13" s="60"/>
      <c r="G13" s="60"/>
      <c r="H13" s="60"/>
      <c r="I13" s="65"/>
    </row>
    <row r="14" spans="2:9" ht="19.95" customHeight="1" x14ac:dyDescent="0.25">
      <c r="D14" s="67"/>
      <c r="E14" s="60"/>
      <c r="F14" s="60"/>
      <c r="G14" s="60"/>
      <c r="H14" s="60"/>
      <c r="I14" s="65"/>
    </row>
    <row r="15" spans="2:9" ht="19.95" customHeight="1" x14ac:dyDescent="0.25">
      <c r="D15" s="109"/>
      <c r="E15" s="82"/>
      <c r="F15" s="82"/>
      <c r="G15" s="82"/>
      <c r="H15" s="82"/>
      <c r="I15" s="110"/>
    </row>
    <row r="16" spans="2:9" ht="19.95" customHeight="1" x14ac:dyDescent="0.25"/>
    <row r="17" spans="2:9" ht="19.95" customHeight="1" x14ac:dyDescent="0.25">
      <c r="B17" s="40"/>
      <c r="D17" s="67"/>
      <c r="E17" s="60"/>
      <c r="F17" s="60"/>
      <c r="G17" s="60"/>
      <c r="H17" s="60"/>
      <c r="I17" s="65"/>
    </row>
    <row r="18" spans="2:9" ht="19.95" customHeight="1" x14ac:dyDescent="0.25">
      <c r="B18" s="36"/>
      <c r="D18" s="67"/>
      <c r="E18" s="60"/>
      <c r="F18" s="60"/>
      <c r="G18" s="60"/>
      <c r="H18" s="60"/>
      <c r="I18" s="65"/>
    </row>
    <row r="19" spans="2:9" ht="19.95" customHeight="1" x14ac:dyDescent="0.25">
      <c r="D19" s="67"/>
      <c r="E19" s="60"/>
      <c r="F19" s="60"/>
      <c r="G19" s="60"/>
      <c r="H19" s="60"/>
      <c r="I19" s="65"/>
    </row>
    <row r="20" spans="2:9" ht="19.95" customHeight="1" x14ac:dyDescent="0.25">
      <c r="D20" s="109"/>
      <c r="E20" s="82"/>
      <c r="F20" s="82"/>
      <c r="G20" s="82"/>
      <c r="H20" s="82"/>
      <c r="I20" s="110"/>
    </row>
    <row r="21" spans="2:9" ht="19.95" customHeight="1" x14ac:dyDescent="0.25"/>
    <row r="22" spans="2:9" ht="19.95" customHeight="1" x14ac:dyDescent="0.25">
      <c r="B22" s="40"/>
      <c r="D22" s="67"/>
      <c r="E22" s="60"/>
      <c r="F22" s="60"/>
      <c r="G22" s="60"/>
      <c r="H22" s="60"/>
      <c r="I22" s="65"/>
    </row>
    <row r="23" spans="2:9" ht="19.95" customHeight="1" x14ac:dyDescent="0.25">
      <c r="B23" s="36"/>
      <c r="D23" s="67"/>
      <c r="E23" s="60"/>
      <c r="F23" s="60"/>
      <c r="G23" s="60"/>
      <c r="H23" s="60"/>
      <c r="I23" s="65"/>
    </row>
    <row r="24" spans="2:9" ht="19.95" customHeight="1" x14ac:dyDescent="0.25">
      <c r="D24" s="67"/>
      <c r="E24" s="60"/>
      <c r="F24" s="60"/>
      <c r="G24" s="60"/>
      <c r="H24" s="60"/>
      <c r="I24" s="65"/>
    </row>
    <row r="25" spans="2:9" ht="19.95" customHeight="1" x14ac:dyDescent="0.25">
      <c r="D25" s="109"/>
      <c r="E25" s="82"/>
      <c r="F25" s="82"/>
      <c r="G25" s="82"/>
      <c r="H25" s="82"/>
      <c r="I25" s="110"/>
    </row>
    <row r="26" spans="2:9" ht="19.95" customHeight="1" x14ac:dyDescent="0.25"/>
    <row r="27" spans="2:9" ht="19.95" customHeight="1" x14ac:dyDescent="0.25">
      <c r="B27" s="40"/>
      <c r="D27" s="67"/>
      <c r="E27" s="60"/>
      <c r="F27" s="60"/>
      <c r="G27" s="60"/>
      <c r="H27" s="60"/>
      <c r="I27" s="65"/>
    </row>
    <row r="28" spans="2:9" ht="19.95" customHeight="1" x14ac:dyDescent="0.25">
      <c r="B28" s="36"/>
      <c r="D28" s="67"/>
      <c r="E28" s="60"/>
      <c r="F28" s="60"/>
      <c r="G28" s="60"/>
      <c r="H28" s="60"/>
      <c r="I28" s="65"/>
    </row>
    <row r="29" spans="2:9" ht="19.95" customHeight="1" x14ac:dyDescent="0.25">
      <c r="D29" s="67"/>
      <c r="E29" s="60"/>
      <c r="F29" s="60"/>
      <c r="G29" s="60"/>
      <c r="H29" s="60"/>
      <c r="I29" s="65"/>
    </row>
    <row r="30" spans="2:9" ht="19.95" customHeight="1" x14ac:dyDescent="0.25">
      <c r="D30" s="109"/>
      <c r="E30" s="82"/>
      <c r="F30" s="82"/>
      <c r="G30" s="82"/>
      <c r="H30" s="82"/>
      <c r="I30" s="110"/>
    </row>
    <row r="31" spans="2:9" ht="19.95" customHeight="1" x14ac:dyDescent="0.25"/>
    <row r="32" spans="2:9" ht="19.95" customHeight="1" x14ac:dyDescent="0.25">
      <c r="B32" s="40"/>
      <c r="D32" s="67"/>
      <c r="E32" s="60"/>
      <c r="F32" s="60"/>
      <c r="G32" s="60"/>
      <c r="H32" s="60"/>
      <c r="I32" s="65"/>
    </row>
    <row r="33" spans="2:9" ht="19.95" customHeight="1" x14ac:dyDescent="0.25">
      <c r="B33" s="36"/>
      <c r="D33" s="67"/>
      <c r="E33" s="60"/>
      <c r="F33" s="60"/>
      <c r="G33" s="60"/>
      <c r="H33" s="60"/>
      <c r="I33" s="65"/>
    </row>
    <row r="34" spans="2:9" ht="19.95" customHeight="1" x14ac:dyDescent="0.25">
      <c r="D34" s="67"/>
      <c r="E34" s="60"/>
      <c r="F34" s="60"/>
      <c r="G34" s="60"/>
      <c r="H34" s="60"/>
      <c r="I34" s="65"/>
    </row>
    <row r="35" spans="2:9" ht="19.95" customHeight="1" x14ac:dyDescent="0.25">
      <c r="D35" s="109"/>
      <c r="E35" s="82"/>
      <c r="F35" s="82"/>
      <c r="G35" s="82"/>
      <c r="H35" s="82"/>
      <c r="I35" s="110"/>
    </row>
    <row r="36" spans="2:9" ht="19.95" customHeight="1" x14ac:dyDescent="0.25"/>
    <row r="37" spans="2:9" ht="19.95" customHeight="1" x14ac:dyDescent="0.25">
      <c r="B37" s="40"/>
      <c r="D37" s="67"/>
      <c r="E37" s="60"/>
      <c r="F37" s="60"/>
      <c r="G37" s="60"/>
      <c r="H37" s="60"/>
      <c r="I37" s="65"/>
    </row>
    <row r="38" spans="2:9" ht="19.95" customHeight="1" x14ac:dyDescent="0.25">
      <c r="B38" s="36"/>
      <c r="D38" s="67"/>
      <c r="E38" s="60"/>
      <c r="F38" s="60"/>
      <c r="G38" s="60"/>
      <c r="H38" s="60"/>
      <c r="I38" s="65"/>
    </row>
    <row r="39" spans="2:9" ht="19.95" customHeight="1" x14ac:dyDescent="0.25">
      <c r="D39" s="67"/>
      <c r="E39" s="60"/>
      <c r="F39" s="60"/>
      <c r="G39" s="60"/>
      <c r="H39" s="60"/>
      <c r="I39" s="65"/>
    </row>
    <row r="40" spans="2:9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</sheetData>
  <mergeCells count="27">
    <mergeCell ref="D20:I20"/>
    <mergeCell ref="D7:I7"/>
    <mergeCell ref="D8:I8"/>
    <mergeCell ref="D9:I9"/>
    <mergeCell ref="D10:I10"/>
    <mergeCell ref="D12:I12"/>
    <mergeCell ref="D13:I13"/>
    <mergeCell ref="D14:I14"/>
    <mergeCell ref="D15:I15"/>
    <mergeCell ref="D17:I17"/>
    <mergeCell ref="D18:I18"/>
    <mergeCell ref="D19:I19"/>
    <mergeCell ref="D37:I37"/>
    <mergeCell ref="D38:I38"/>
    <mergeCell ref="D39:I39"/>
    <mergeCell ref="D35:I35"/>
    <mergeCell ref="D22:I22"/>
    <mergeCell ref="D23:I23"/>
    <mergeCell ref="D24:I24"/>
    <mergeCell ref="D25:I25"/>
    <mergeCell ref="D27:I27"/>
    <mergeCell ref="D28:I28"/>
    <mergeCell ref="D29:I29"/>
    <mergeCell ref="D30:I30"/>
    <mergeCell ref="D32:I32"/>
    <mergeCell ref="D33:I33"/>
    <mergeCell ref="D34:I34"/>
  </mergeCells>
  <pageMargins left="0.7" right="0.7" top="0.75" bottom="0.75" header="0.3" footer="0.3"/>
  <pageSetup paperSize="9" scale="9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Schedule</vt:lpstr>
      <vt:lpstr>Template_1</vt:lpstr>
      <vt:lpstr>Template_2</vt:lpstr>
      <vt:lpstr>Template_3</vt:lpstr>
      <vt:lpstr>Template_4</vt:lpstr>
      <vt:lpstr>Template_1!Print_Area</vt:lpstr>
      <vt:lpstr>Template_2!Print_Area</vt:lpstr>
      <vt:lpstr>Template_3!Print_Area</vt:lpstr>
      <vt:lpstr>Template_4!Print_Area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Sergiy Korzh</dc:creator>
  <cp:lastModifiedBy>Sergiy Korzh</cp:lastModifiedBy>
  <cp:lastPrinted>2022-04-18T15:29:15Z</cp:lastPrinted>
  <dcterms:created xsi:type="dcterms:W3CDTF">2022-03-24T18:29:37Z</dcterms:created>
  <dcterms:modified xsi:type="dcterms:W3CDTF">2022-04-20T11:21:24Z</dcterms:modified>
</cp:coreProperties>
</file>